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D:\Documents\GRC_Portfolio_ISO27001_Project\"/>
    </mc:Choice>
  </mc:AlternateContent>
  <xr:revisionPtr revIDLastSave="0" documentId="13_ncr:1_{43AD8E57-2882-4814-A5A9-D1233042DF94}" xr6:coauthVersionLast="47" xr6:coauthVersionMax="47" xr10:uidLastSave="{00000000-0000-0000-0000-000000000000}"/>
  <bookViews>
    <workbookView xWindow="-108" yWindow="-108" windowWidth="23256" windowHeight="12456" xr2:uid="{A5FAEF49-46AC-4B4C-83E3-6555EC62089E}"/>
  </bookViews>
  <sheets>
    <sheet name="ISO27001 Controls" sheetId="1" r:id="rId1"/>
    <sheet name="Asset Register" sheetId="2" r:id="rId2"/>
    <sheet name="Legend &amp; Methodology" sheetId="4" r:id="rId3"/>
  </sheets>
  <externalReferences>
    <externalReference r:id="rId4"/>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2" l="1"/>
  <c r="J3" i="2"/>
  <c r="J4" i="2"/>
  <c r="J5" i="2"/>
  <c r="J6" i="2"/>
  <c r="J7" i="2"/>
  <c r="J8" i="2"/>
  <c r="J9" i="2"/>
  <c r="J10" i="2"/>
  <c r="J11" i="2"/>
  <c r="J12" i="2"/>
  <c r="J13" i="2"/>
  <c r="J14" i="2"/>
  <c r="J15" i="2"/>
  <c r="J16" i="2"/>
  <c r="J17" i="2"/>
  <c r="J18" i="2"/>
  <c r="J19" i="2"/>
  <c r="J20" i="2"/>
  <c r="J21" i="2"/>
  <c r="J22" i="2"/>
  <c r="J23" i="2"/>
  <c r="J24" i="2"/>
  <c r="I2" i="2" a="1"/>
  <c r="I2" i="2" s="1"/>
  <c r="I3" i="2" a="1"/>
  <c r="I3" i="2" s="1"/>
  <c r="I4" i="2" a="1"/>
  <c r="I4" i="2" s="1"/>
  <c r="I5" i="2" a="1"/>
  <c r="I5" i="2" s="1"/>
  <c r="I6" i="2" a="1"/>
  <c r="I6" i="2" s="1"/>
  <c r="I7" i="2" a="1"/>
  <c r="I7" i="2" s="1"/>
  <c r="I8" i="2" a="1"/>
  <c r="I8" i="2" s="1"/>
  <c r="I9" i="2" a="1"/>
  <c r="I9" i="2" s="1"/>
  <c r="I10" i="2" a="1"/>
  <c r="I10" i="2"/>
  <c r="I11" i="2" a="1"/>
  <c r="I11" i="2" s="1"/>
  <c r="I12" i="2" a="1"/>
  <c r="I12" i="2" s="1"/>
  <c r="I13" i="2" a="1"/>
  <c r="I13" i="2" s="1"/>
  <c r="I14" i="2" a="1"/>
  <c r="I14" i="2" s="1"/>
  <c r="I15" i="2" a="1"/>
  <c r="I15" i="2" s="1"/>
  <c r="I16" i="2" a="1"/>
  <c r="I16" i="2" s="1"/>
  <c r="I17" i="2" a="1"/>
  <c r="I17" i="2" s="1"/>
  <c r="I18" i="2" a="1"/>
  <c r="I18" i="2" s="1"/>
  <c r="I19" i="2" a="1"/>
  <c r="I19" i="2" s="1"/>
  <c r="I20" i="2" a="1"/>
  <c r="I20" i="2" s="1"/>
  <c r="I21" i="2" a="1"/>
  <c r="I21" i="2" s="1"/>
  <c r="I22" i="2" a="1"/>
  <c r="I22" i="2" s="1"/>
  <c r="I23" i="2" a="1"/>
  <c r="I23" i="2" s="1"/>
  <c r="I24" i="2" a="1"/>
  <c r="I24" i="2" s="1"/>
  <c r="K3" i="1" a="1"/>
  <c r="K3" i="1" s="1"/>
  <c r="Q3" i="1" s="1"/>
  <c r="P3" i="1" s="1" a="1"/>
  <c r="P3" i="1" s="1"/>
  <c r="K2" i="1" a="1"/>
  <c r="K2" i="1" s="1"/>
  <c r="Q2" i="1" s="1"/>
  <c r="P2" i="1" s="1" a="1"/>
  <c r="P2" i="1" s="1"/>
  <c r="K4" i="1" a="1"/>
  <c r="K4" i="1" s="1"/>
  <c r="Q4" i="1" s="1"/>
  <c r="P4" i="1" s="1" a="1"/>
  <c r="P4" i="1" s="1"/>
  <c r="K5" i="1" a="1"/>
  <c r="K5" i="1" s="1"/>
  <c r="Q5" i="1" s="1"/>
  <c r="P5" i="1" s="1" a="1"/>
  <c r="P5" i="1" s="1"/>
  <c r="K6" i="1" a="1"/>
  <c r="K6" i="1" s="1"/>
  <c r="Q6" i="1" s="1"/>
  <c r="P6" i="1" s="1" a="1"/>
  <c r="P6" i="1" s="1"/>
  <c r="K7" i="1" a="1"/>
  <c r="K7" i="1" s="1"/>
  <c r="Q7" i="1" s="1"/>
  <c r="P7" i="1" s="1" a="1"/>
  <c r="P7" i="1" s="1"/>
  <c r="K8" i="1" a="1"/>
  <c r="K8" i="1" s="1"/>
  <c r="Q8" i="1" s="1"/>
  <c r="P8" i="1" s="1" a="1"/>
  <c r="P8" i="1" s="1"/>
  <c r="K9" i="1" a="1"/>
  <c r="K9" i="1" s="1"/>
  <c r="Q9" i="1" s="1"/>
  <c r="P9" i="1" s="1" a="1"/>
  <c r="P9" i="1" s="1"/>
  <c r="K10" i="1" a="1"/>
  <c r="K10" i="1" s="1"/>
  <c r="Q10" i="1" s="1"/>
  <c r="P10" i="1" s="1" a="1"/>
  <c r="P10" i="1" s="1"/>
  <c r="K11" i="1" a="1"/>
  <c r="K11" i="1" s="1"/>
  <c r="Q11" i="1" s="1"/>
  <c r="P11" i="1" s="1" a="1"/>
  <c r="P11" i="1" s="1"/>
  <c r="K12" i="1" a="1"/>
  <c r="K12" i="1" s="1"/>
  <c r="Q12" i="1" s="1"/>
  <c r="P12" i="1" s="1" a="1"/>
  <c r="P12" i="1" s="1"/>
  <c r="K13" i="1" a="1"/>
  <c r="K13" i="1" s="1"/>
  <c r="Q13" i="1" s="1"/>
  <c r="P13" i="1" s="1" a="1"/>
  <c r="P13" i="1" s="1"/>
  <c r="K14" i="1" a="1"/>
  <c r="K14" i="1" s="1"/>
  <c r="Q14" i="1" s="1"/>
  <c r="P14" i="1" s="1" a="1"/>
  <c r="P14" i="1" s="1"/>
  <c r="K15" i="1" a="1"/>
  <c r="K15" i="1" s="1"/>
  <c r="Q15" i="1" s="1"/>
  <c r="P15" i="1" s="1" a="1"/>
  <c r="P15" i="1" s="1"/>
  <c r="K16" i="1" a="1"/>
  <c r="K16" i="1" s="1"/>
  <c r="Q16" i="1" s="1"/>
  <c r="P16" i="1" s="1" a="1"/>
  <c r="P16" i="1" s="1"/>
  <c r="O2" i="1"/>
  <c r="O3" i="1"/>
  <c r="O4" i="1"/>
  <c r="O5" i="1"/>
  <c r="O6" i="1"/>
  <c r="O7" i="1"/>
  <c r="O8" i="1"/>
  <c r="O9" i="1"/>
  <c r="O10" i="1"/>
  <c r="O11" i="1"/>
  <c r="O12" i="1"/>
  <c r="O13" i="1"/>
  <c r="O14" i="1"/>
  <c r="O15" i="1"/>
  <c r="O16" i="1"/>
  <c r="E2" i="1"/>
  <c r="E3" i="1"/>
  <c r="E4" i="1"/>
  <c r="E5" i="1"/>
  <c r="E6" i="1"/>
  <c r="E7" i="1"/>
  <c r="E8" i="1"/>
  <c r="E9" i="1"/>
  <c r="E10" i="1"/>
  <c r="E11" i="1"/>
  <c r="E12" i="1"/>
  <c r="E13" i="1"/>
  <c r="E14" i="1"/>
  <c r="E15" i="1"/>
  <c r="E16"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<sst xmlns="http://schemas.openxmlformats.org/spreadsheetml/2006/main" count="610" uniqueCount="290">
  <si>
    <t>Control ID</t>
  </si>
  <si>
    <t>Requirement</t>
  </si>
  <si>
    <t>Current Status</t>
  </si>
  <si>
    <t>Action Needed</t>
  </si>
  <si>
    <t>Asset Name</t>
  </si>
  <si>
    <t>Type</t>
  </si>
  <si>
    <t>Location</t>
  </si>
  <si>
    <t>Criticality</t>
  </si>
  <si>
    <t>Hardware</t>
  </si>
  <si>
    <t>Employee</t>
  </si>
  <si>
    <t>Remote</t>
  </si>
  <si>
    <t>Medium</t>
  </si>
  <si>
    <t>High</t>
  </si>
  <si>
    <t>Cloud Production Server (AWS EC2)</t>
  </si>
  <si>
    <t>Server</t>
  </si>
  <si>
    <t>Staging/Test Server</t>
  </si>
  <si>
    <t>GPU Compute Instance (AWS EC2 with NVIDIA GPUs for ML training)</t>
  </si>
  <si>
    <t>Customer Data Storage (secure cloud storage)</t>
  </si>
  <si>
    <t>GitHub (code repository)</t>
  </si>
  <si>
    <t>Slack (communication)</t>
  </si>
  <si>
    <t>Google Workspace (email, docs)</t>
  </si>
  <si>
    <t>Jira (project management)</t>
  </si>
  <si>
    <t>AWS (cloud infrastructure)</t>
  </si>
  <si>
    <t>ML Model Storage (AWS S3 bucket)</t>
  </si>
  <si>
    <t>Endpoint Protection (CrowdStrike)</t>
  </si>
  <si>
    <t>VPN Service for Remote Access</t>
  </si>
  <si>
    <t>SaaS Tool</t>
  </si>
  <si>
    <t>Security Tool</t>
  </si>
  <si>
    <t>Data Storage</t>
  </si>
  <si>
    <t>Cloud</t>
  </si>
  <si>
    <t>System Administrator</t>
  </si>
  <si>
    <t>DevOps Lead</t>
  </si>
  <si>
    <t>Cloud Architect</t>
  </si>
  <si>
    <t>IT Manager</t>
  </si>
  <si>
    <t>Asset ID</t>
  </si>
  <si>
    <t>SRV-001</t>
  </si>
  <si>
    <t>SRV-002</t>
  </si>
  <si>
    <t>SRV-003</t>
  </si>
  <si>
    <t>DAT-001</t>
  </si>
  <si>
    <t>DAT-002</t>
  </si>
  <si>
    <t>Classification</t>
  </si>
  <si>
    <t>Custodian (Technical)</t>
  </si>
  <si>
    <t>Internal</t>
  </si>
  <si>
    <t>Restricted</t>
  </si>
  <si>
    <t>Confidential</t>
  </si>
  <si>
    <t>NET-GWY-001</t>
  </si>
  <si>
    <t>Office Network Infrastructure (Router &amp; Firewall)</t>
  </si>
  <si>
    <t>Office</t>
  </si>
  <si>
    <t>LAP-001</t>
  </si>
  <si>
    <t>LAP-002</t>
  </si>
  <si>
    <t>LAP-003</t>
  </si>
  <si>
    <t>LAP-004</t>
  </si>
  <si>
    <t>LAP-005</t>
  </si>
  <si>
    <t>LAP-006</t>
  </si>
  <si>
    <t>LAP-007</t>
  </si>
  <si>
    <t>LAP-008</t>
  </si>
  <si>
    <t>Employee Laptop (Serial: ABC)</t>
  </si>
  <si>
    <t>Employee Laptop (Serial: DEF)</t>
  </si>
  <si>
    <t>Employee Laptop (Serial: GHI)</t>
  </si>
  <si>
    <t>Employee Laptop (Serial: JKL)</t>
  </si>
  <si>
    <t>Employee Laptop (Serial: MNO)</t>
  </si>
  <si>
    <t>Employee Laptop (Serial: PQR)</t>
  </si>
  <si>
    <t>Employee Laptop (Serial: STU)</t>
  </si>
  <si>
    <t>Employee Laptop (Serial: VWX)</t>
  </si>
  <si>
    <t>Data Protection Officer</t>
  </si>
  <si>
    <t>SFT-EPP-001</t>
  </si>
  <si>
    <t>SFT-VPN-001</t>
  </si>
  <si>
    <t>SFT-SAAS-001</t>
  </si>
  <si>
    <t>SFT-SAAS-002</t>
  </si>
  <si>
    <t>SFT-SAAS-004</t>
  </si>
  <si>
    <t>SFT-SAAS-003</t>
  </si>
  <si>
    <t>SFT-SAAS-005</t>
  </si>
  <si>
    <t>AI Officer</t>
  </si>
  <si>
    <t>HR Manager</t>
  </si>
  <si>
    <t>Security Officer</t>
  </si>
  <si>
    <t>Definition</t>
  </si>
  <si>
    <t>Low</t>
  </si>
  <si>
    <t>A.5.23</t>
  </si>
  <si>
    <t>Information security for use of cloud services</t>
  </si>
  <si>
    <t>Planned</t>
  </si>
  <si>
    <t>A.5.15</t>
  </si>
  <si>
    <t>A.5.16</t>
  </si>
  <si>
    <t>Access Control</t>
  </si>
  <si>
    <t>Identity Management</t>
  </si>
  <si>
    <t>A.5.34</t>
  </si>
  <si>
    <t>Privacy and protection of PII</t>
  </si>
  <si>
    <t>A.6.7</t>
  </si>
  <si>
    <t>Remote working</t>
  </si>
  <si>
    <t>A.6.1</t>
  </si>
  <si>
    <t>Screening</t>
  </si>
  <si>
    <t>A.6.3</t>
  </si>
  <si>
    <t>Information security awareness, education and training</t>
  </si>
  <si>
    <t>Partially Implemented</t>
  </si>
  <si>
    <t>A.6.6</t>
  </si>
  <si>
    <t>Confidentiality or non-disclosure agreements</t>
  </si>
  <si>
    <t>A.7.9</t>
  </si>
  <si>
    <t>Security of assets off-premises</t>
  </si>
  <si>
    <t>A.8.1</t>
  </si>
  <si>
    <t>User endpoint devices</t>
  </si>
  <si>
    <t>A.8.4</t>
  </si>
  <si>
    <t>Access to source code</t>
  </si>
  <si>
    <t>A.8.9</t>
  </si>
  <si>
    <t>Configuration management</t>
  </si>
  <si>
    <t>A.8.22</t>
  </si>
  <si>
    <t>Segregation of networks</t>
  </si>
  <si>
    <t>AI Officer / Operations Lead</t>
  </si>
  <si>
    <t>A.8.10</t>
  </si>
  <si>
    <t>A.8.11</t>
  </si>
  <si>
    <t>Information deletion</t>
  </si>
  <si>
    <t>Data masking</t>
  </si>
  <si>
    <t>Conduct background checks for new hires</t>
  </si>
  <si>
    <t>Legal Officer</t>
  </si>
  <si>
    <t>Control Owner</t>
  </si>
  <si>
    <t>Asset Owner (Accountable)</t>
  </si>
  <si>
    <t>Implemented</t>
  </si>
  <si>
    <t>Maturity Level</t>
  </si>
  <si>
    <t>Target Date</t>
  </si>
  <si>
    <t>Risk Context</t>
  </si>
  <si>
    <t>Initial</t>
  </si>
  <si>
    <t>Developing</t>
  </si>
  <si>
    <t>Backup Status</t>
  </si>
  <si>
    <t>Patch Status</t>
  </si>
  <si>
    <t>No</t>
  </si>
  <si>
    <t>Yes</t>
  </si>
  <si>
    <t>N/A</t>
  </si>
  <si>
    <t>Encryption Status</t>
  </si>
  <si>
    <t>Notes</t>
  </si>
  <si>
    <t>Assumed AWS default encryption enabled</t>
  </si>
  <si>
    <t>Dependencies</t>
  </si>
  <si>
    <t>Vendor-managed patching and encryption</t>
  </si>
  <si>
    <t>Vendor-managed patching</t>
  </si>
  <si>
    <t>Patching not applicable to storage</t>
  </si>
  <si>
    <t>Responsible Control</t>
  </si>
  <si>
    <t>LAP-009</t>
  </si>
  <si>
    <t>LAP-010</t>
  </si>
  <si>
    <t>Employee Laptop (Serial: YZA)</t>
  </si>
  <si>
    <t>Employee Laptop (Serial: ZYX)</t>
  </si>
  <si>
    <t>Maturity Level (Numeric)</t>
  </si>
  <si>
    <t>Linked Risk IDs</t>
  </si>
  <si>
    <t>Calculated Risk Score</t>
  </si>
  <si>
    <t>Priority Score</t>
  </si>
  <si>
    <t>R-001, R-010</t>
  </si>
  <si>
    <t>Implement identity lifecycle management</t>
  </si>
  <si>
    <t>R-001, R-003</t>
  </si>
  <si>
    <t>Develop and enforce cloud usage policy for AWS/SaaS</t>
  </si>
  <si>
    <t>R-002, R-009</t>
  </si>
  <si>
    <t>Implement PII protection and privacy policy</t>
  </si>
  <si>
    <t>R-007</t>
  </si>
  <si>
    <t>A.8.10, A.8.11</t>
  </si>
  <si>
    <t>R-005</t>
  </si>
  <si>
    <t>Deliver annual security awareness training</t>
  </si>
  <si>
    <t>R-004</t>
  </si>
  <si>
    <t>Ensure all employees sign NDAs</t>
  </si>
  <si>
    <t>Audit VPN, MFA, endpoint protections</t>
  </si>
  <si>
    <t>R-001, R-006</t>
  </si>
  <si>
    <t>Audit laptop and mobile device security</t>
  </si>
  <si>
    <t>R-006</t>
  </si>
  <si>
    <t>Restrict and audit source code access</t>
  </si>
  <si>
    <t>CTO</t>
  </si>
  <si>
    <t>Document configuration baselines</t>
  </si>
  <si>
    <t>Implement secure deletion procedures</t>
  </si>
  <si>
    <t>Apply masking in dev/test environments</t>
  </si>
  <si>
    <t>Implement network segmentation</t>
  </si>
  <si>
    <t>R-008</t>
  </si>
  <si>
    <t>Maturity Level (Text)</t>
  </si>
  <si>
    <t>AI Officer / CTO</t>
  </si>
  <si>
    <t>CTO/ IT Manager</t>
  </si>
  <si>
    <t>Control Criticality (Numeric)</t>
  </si>
  <si>
    <t>Linked Risk IDs (Normalized)</t>
  </si>
  <si>
    <t>|R-001|R-010|</t>
  </si>
  <si>
    <t>|R-001|R-003|</t>
  </si>
  <si>
    <t>|R-002|R-009|</t>
  </si>
  <si>
    <t>|R-001|R-006|</t>
  </si>
  <si>
    <t>|R-007|</t>
  </si>
  <si>
    <t>|R-005|</t>
  </si>
  <si>
    <t>|R-004|</t>
  </si>
  <si>
    <t>|R-006|</t>
  </si>
  <si>
    <t>|R-008|</t>
  </si>
  <si>
    <t>Develop and implement organization-wide access control policy</t>
  </si>
  <si>
    <t>Deploy EDR and centralized logging on all endpoints</t>
  </si>
  <si>
    <t>Control Criticality (Text)</t>
  </si>
  <si>
    <t>Priority Level (Text)</t>
  </si>
  <si>
    <t>Unauthorized access to internal systems and source code may result in data breach and regulatory non-compliance</t>
  </si>
  <si>
    <t>Orphaned or improperly managed user accounts may enable unauthorized access leading to data exposure and compliance violations</t>
  </si>
  <si>
    <t>Misconfigured cloud and SaaS services may expose customer or model data, resulting in data breaches and contractual non-compliance</t>
  </si>
  <si>
    <t>Inadequate protection of customer PII may result in regulatory penalties, legal liability, and reputational damage</t>
  </si>
  <si>
    <t>Insufficient employee screening may increase insider threat risk, leading to data misuse or operational disruption</t>
  </si>
  <si>
    <t>Susceptibility to phishing and social engineering may result in credential compromise, data breaches, or financial loss</t>
  </si>
  <si>
    <t>Absence of confidentiality agreements may increase risk of data leakage and loss of intellectual property</t>
  </si>
  <si>
    <t>Insecure remote access may allow unauthorized entry to internal systems, leading to data breach or malware infection</t>
  </si>
  <si>
    <t>Inadequately secured remote laptops may lead to data loss or unauthorized access if devices are compromised or lost</t>
  </si>
  <si>
    <t>Malware infection on user endpoints may disrupt operations and enable unauthorized access to sensitive systems</t>
  </si>
  <si>
    <t>Unauthorized access to source code repositories may result in intellectual property theft and security vulnerabilities</t>
  </si>
  <si>
    <t>Inconsistent system and SaaS configurations may introduce security weaknesses leading to unauthorized access or service disruption</t>
  </si>
  <si>
    <t>Improper deletion of customer and ML data may result in unauthorized data retention and regulatory non-compliance</t>
  </si>
  <si>
    <t>Unmasked PII in development and test environments may increase risk of data exposure during non-production activities</t>
  </si>
  <si>
    <t>Lack of network segmentation may allow lateral movement following a compromise, increasing the impact of security incidents</t>
  </si>
  <si>
    <t>User-Dependent</t>
  </si>
  <si>
    <t>Local files only; no centralized backup solution implemented</t>
  </si>
  <si>
    <t>Suggested Likelihood</t>
  </si>
  <si>
    <t>Criticality Warning</t>
  </si>
  <si>
    <t>Status</t>
  </si>
  <si>
    <t>Meaning</t>
  </si>
  <si>
    <t>Required Action</t>
  </si>
  <si>
    <t>Description</t>
  </si>
  <si>
    <t>Managed</t>
  </si>
  <si>
    <t>Optimized</t>
  </si>
  <si>
    <t>ASSET CLASSIFICATION LEGEND</t>
  </si>
  <si>
    <t>Critical</t>
  </si>
  <si>
    <t>ASSET CRITICALITY LEGEND</t>
  </si>
  <si>
    <t>Priority Level</t>
  </si>
  <si>
    <t>Interpretation</t>
  </si>
  <si>
    <t>Priority Score Range</t>
  </si>
  <si>
    <t>≥ 100</t>
  </si>
  <si>
    <t>Purpose:</t>
  </si>
  <si>
    <t>Control Maturity Table</t>
  </si>
  <si>
    <t>Score</t>
  </si>
  <si>
    <t>CONTROL MATURITY LEGEND</t>
  </si>
  <si>
    <t>Emerging</t>
  </si>
  <si>
    <t>CONTROL CRITICALITY LEGEND</t>
  </si>
  <si>
    <t>Control Criticality Table</t>
  </si>
  <si>
    <t>Typical Use</t>
  </si>
  <si>
    <t>CONTROL STATUS LEGEND</t>
  </si>
  <si>
    <t>Control Status Table</t>
  </si>
  <si>
    <t>Asset Classification Table</t>
  </si>
  <si>
    <t>Example Data</t>
  </si>
  <si>
    <t>Public</t>
  </si>
  <si>
    <t>Asset Criticality Table</t>
  </si>
  <si>
    <t>Impact</t>
  </si>
  <si>
    <t>Moderate disruption</t>
  </si>
  <si>
    <t>Minimal disruption</t>
  </si>
  <si>
    <t>CONTROL PRIORITY SCORE LEGEND</t>
  </si>
  <si>
    <t>Priority Score Bands</t>
  </si>
  <si>
    <t>50–99</t>
  </si>
  <si>
    <t>20–49</t>
  </si>
  <si>
    <t>&lt; 20</t>
  </si>
  <si>
    <t>No meaningful risk reduction; exposure remains largely unmitigated</t>
  </si>
  <si>
    <t>Immediate remediation and formal control design required</t>
  </si>
  <si>
    <t>Control activities occur informally or inconsistently</t>
  </si>
  <si>
    <t>Formalize control ownership, documentation, and repeatability</t>
  </si>
  <si>
    <t>Control is documented and implemented but not consistently measured</t>
  </si>
  <si>
    <t>Monitor effectiveness and introduce metrics</t>
  </si>
  <si>
    <t>Strong and reliable risk reduction</t>
  </si>
  <si>
    <t>Optimize efficiency and address residual gaps</t>
  </si>
  <si>
    <t>Control is continuously improved and supported by automation</t>
  </si>
  <si>
    <t>Maximum sustainable risk reduction</t>
  </si>
  <si>
    <t>Maintain performance and reassess periodically</t>
  </si>
  <si>
    <t>Standardize how control implementation strength is assessed, scored and compared across the Controls Register and all downstream risk, asset, and audit assessments.</t>
  </si>
  <si>
    <t>Indicate the relative importance of a control based on regulatory requirements, business operations, and risk exposure.</t>
  </si>
  <si>
    <t>Control is essential to meeting legal, regulatory, or material risk obligations</t>
  </si>
  <si>
    <t>Privacy, security, financial reporting, safety, or compliance controls</t>
  </si>
  <si>
    <t>Control materially reduces risk but is not solely relied upon</t>
  </si>
  <si>
    <t>Operational safeguards, monitoring, detective controls</t>
  </si>
  <si>
    <t>Control provides supporting or compensating value</t>
  </si>
  <si>
    <t>Defense-in-depth or supplementary controls</t>
  </si>
  <si>
    <t>Track the lifecycle state of controls independently from maturity scoring to support planning, audits, and remediation tracking.</t>
  </si>
  <si>
    <t>Control has been approved but not yet implemented</t>
  </si>
  <si>
    <t>Design or resourcing stage</t>
  </si>
  <si>
    <t>Control implementation is underway</t>
  </si>
  <si>
    <t>Coverage may be incomplete or inconsistent</t>
  </si>
  <si>
    <t>Control is fully implemented and operational</t>
  </si>
  <si>
    <t>Define the sensitivity of information assets based on confidentiality, regulatory impact, and data protection requirements.</t>
  </si>
  <si>
    <t>Unauthorized disclosure would cause significant legal, financial, or reputational harm</t>
  </si>
  <si>
    <t>PII, PHI, credentials, regulated data</t>
  </si>
  <si>
    <t>Access limited to specific roles or functions</t>
  </si>
  <si>
    <t>Internal systems, logs, internal reports</t>
  </si>
  <si>
    <t>Business-use information with low external sensitivity</t>
  </si>
  <si>
    <t>Policies, procedures, internal documentation</t>
  </si>
  <si>
    <t>Approved for unrestricted public release</t>
  </si>
  <si>
    <t>Marketing content, public website information</t>
  </si>
  <si>
    <t>Measure the business impact if an asset is unavailable, compromised, or misused.</t>
  </si>
  <si>
    <t>Asset is essential to core operations or regulatory compliance</t>
  </si>
  <si>
    <t>Severe operational, financial, or compliance disruption</t>
  </si>
  <si>
    <t>Asset is highly important to business operations</t>
  </si>
  <si>
    <t>Asset supports business processes</t>
  </si>
  <si>
    <t>Asset is non-essential</t>
  </si>
  <si>
    <t>Immediate remediation and management attention required</t>
  </si>
  <si>
    <t>High-priority remediation planned and tracked</t>
  </si>
  <si>
    <t>Remediation scheduled as part of normal control improvement</t>
  </si>
  <si>
    <t>Monitor and review during periodic assessments</t>
  </si>
  <si>
    <r>
      <t>Note:</t>
    </r>
    <r>
      <rPr>
        <i/>
        <sz val="10"/>
        <color theme="1"/>
        <rFont val="Calibri"/>
        <family val="2"/>
      </rPr>
      <t xml:space="preserve"> Priority Score is calculated by adjusting the inherent risk associated with a control by both its business criticality and its current maturity level.
Higher control criticality increases priority, while higher maturity reduces priority, reflecting risk reduction achieved through effective control implementation.
Formula Reference:
Priority Score = (Calculated Risk Score × Control Criticality) ÷ Control Maturity
Priority Scores are rounded to whole numbers for reporting consistency.</t>
    </r>
  </si>
  <si>
    <r>
      <t>Note:</t>
    </r>
    <r>
      <rPr>
        <i/>
        <sz val="10"/>
        <color theme="1"/>
        <rFont val="Calibri"/>
        <family val="2"/>
      </rPr>
      <t xml:space="preserve"> "Critical” is reserved for assets whose failure would materially threaten business continuity or compliance.</t>
    </r>
  </si>
  <si>
    <t>Control is not implemented or exists only in theory</t>
  </si>
  <si>
    <t>Control is consistently applied, monitored, and reviewed</t>
  </si>
  <si>
    <t>Limited and unreliable risk reduction due to lack of standardization</t>
  </si>
  <si>
    <t>Moderate risk reduction dependent on consistency and oversight</t>
  </si>
  <si>
    <t>Subject to ongoing monitoring, testing, and periodic reassessment</t>
  </si>
  <si>
    <t>Significant operational, financial, or compliance disruption</t>
  </si>
  <si>
    <t>Translate inherent risk, control importance, and implementation strength into an actionable remediation priority that demonstrates measurable risk reduction over time.</t>
  </si>
  <si>
    <r>
      <t xml:space="preserve">METHODOLOGY SUMMARY: 
</t>
    </r>
    <r>
      <rPr>
        <sz val="11"/>
        <color theme="1"/>
        <rFont val="Calibri"/>
        <family val="2"/>
      </rPr>
      <t>Control maturity reflects the degree to which a control is implemented, managed, and optimized.
Control priority is derived from the relationship between inherent risk, control criticality, and maturity to identify remediation needs and track risk reduction over time.
Asset classification and asset criticality guide control applicability and prioritization.
Status indicators and color coding are supplemental visual aids used to enhance readability and prioritization.
Numeric scores and text labels are the authoritative indicators for governance and audit purposes.
All color combinations meet WCAG 2.1 AA contrast requirements and align with common enterprise GRC platforms.
This workbook is intentionally protected to preserve scoring logic, methodology, and formatting for portfolio demonstration purposes.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</si>
</sst>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Aptos Narrow"/>
      <family val="2"/>
      <scheme val="minor"/>
    </font>
    <font>
      <b/>
      <sz val="11"/>
      <color theme="1"/>
      <name val="Calibri"/>
      <family val="2"/>
    </font>
    <font>
      <sz val="11"/>
      <color theme="1"/>
      <name val="Calibri"/>
      <family val="2"/>
    </font>
    <font>
      <sz val="11"/>
      <color theme="0"/>
      <name val="Calibri"/>
      <family val="2"/>
    </font>
    <font>
      <b/>
      <i/>
      <sz val="11"/>
      <color theme="1"/>
      <name val="Calibri"/>
      <family val="2"/>
    </font>
    <font>
      <i/>
      <sz val="11"/>
      <color theme="1"/>
      <name val="Calibri"/>
      <family val="2"/>
    </font>
    <font>
      <i/>
      <sz val="10"/>
      <color rgb="FF000000"/>
      <name val="Calibri"/>
      <family val="2"/>
    </font>
    <font>
      <b/>
      <sz val="11"/>
      <name val="Calibri"/>
      <family val="2"/>
    </font>
    <font>
      <sz val="11"/>
      <name val="Calibri"/>
      <family val="2"/>
    </font>
    <font>
      <sz val="11"/>
      <name val="Aptos Narrow"/>
      <family val="2"/>
      <scheme val="minor"/>
    </font>
    <font>
      <b/>
      <sz val="13.5"/>
      <color theme="1"/>
      <name val="Calibri"/>
      <family val="2"/>
    </font>
    <font>
      <sz val="10"/>
      <color theme="1"/>
      <name val="Calibri"/>
      <family val="2"/>
    </font>
    <font>
      <b/>
      <sz val="14"/>
      <color theme="1"/>
      <name val="Calibri"/>
      <family val="2"/>
    </font>
    <font>
      <b/>
      <i/>
      <sz val="10"/>
      <color theme="1"/>
      <name val="Calibri"/>
      <family val="2"/>
    </font>
    <font>
      <i/>
      <sz val="10"/>
      <color theme="1"/>
      <name val="Calibri"/>
      <family val="2"/>
    </font>
  </fonts>
  <fills count="3">
    <fill>
      <patternFill patternType="none"/>
    </fill>
    <fill>
      <patternFill patternType="gray125"/>
    </fill>
    <fill>
      <patternFill patternType="solid">
        <fgColor theme="0" tint="-4.9989318521683403E-2"/>
        <bgColor indexed="64"/>
      </patternFill>
    </fill>
  </fills>
  <borders count="2">
    <border>
      <left/>
      <right/>
      <top/>
      <bottom/>
      <diagonal/>
    </border>
    <border>
      <left/>
      <right style="thin">
        <color indexed="64"/>
      </right>
      <top/>
      <bottom/>
      <diagonal/>
    </border>
  </borders>
  <cellStyleXfs count="1">
    <xf numFmtId="0" fontId="0" fillId="0" borderId="0"/>
  </cellStyleXfs>
  <cellXfs count="36">
    <xf numFmtId="0" fontId="0" fillId="0" borderId="0" xfId="0"/>
    <xf numFmtId="0" fontId="2" fillId="0" borderId="0" xfId="0" applyFont="1"/>
    <xf numFmtId="0" fontId="3" fillId="0" borderId="0" xfId="0" applyFont="1"/>
    <xf numFmtId="0" fontId="4" fillId="0" borderId="0" xfId="0" applyFont="1"/>
    <xf numFmtId="0" fontId="2" fillId="0" borderId="0" xfId="0" applyFont="1" applyAlignment="1">
      <alignment wrapText="1"/>
    </xf>
    <xf numFmtId="14" fontId="2" fillId="0" borderId="0" xfId="0" applyNumberFormat="1" applyFont="1"/>
    <xf numFmtId="0" fontId="0" fillId="0" borderId="0" xfId="0" applyAlignment="1">
      <alignment wrapText="1"/>
    </xf>
    <xf numFmtId="0" fontId="6" fillId="0" borderId="0" xfId="0" applyFont="1" applyAlignment="1"/>
    <xf numFmtId="0" fontId="7" fillId="2" borderId="0" xfId="0" applyFont="1" applyFill="1" applyAlignment="1">
      <alignment horizontal="center" wrapText="1"/>
    </xf>
    <xf numFmtId="0" fontId="8" fillId="0" borderId="0" xfId="0" applyFont="1" applyAlignment="1">
      <alignment wrapText="1"/>
    </xf>
    <xf numFmtId="0" fontId="2" fillId="0" borderId="1" xfId="0" applyFont="1" applyBorder="1" applyAlignment="1">
      <alignment wrapText="1"/>
    </xf>
    <xf numFmtId="0" fontId="2" fillId="0" borderId="0" xfId="0" applyFont="1" applyAlignment="1">
      <alignment horizontal="center" wrapText="1"/>
    </xf>
    <xf numFmtId="0" fontId="0" fillId="0" borderId="0" xfId="0" applyAlignment="1"/>
    <xf numFmtId="0" fontId="0" fillId="0" borderId="0" xfId="0" applyAlignment="1">
      <alignment horizontal="center"/>
    </xf>
    <xf numFmtId="0" fontId="2" fillId="0" borderId="0" xfId="0" applyFont="1" applyAlignment="1">
      <alignment horizontal="center"/>
    </xf>
    <xf numFmtId="14" fontId="2" fillId="0" borderId="0" xfId="0" applyNumberFormat="1" applyFont="1" applyAlignment="1">
      <alignment horizontal="center" wrapText="1"/>
    </xf>
    <xf numFmtId="0" fontId="1" fillId="0" borderId="0" xfId="0" applyFont="1" applyAlignment="1">
      <alignment wrapText="1"/>
    </xf>
    <xf numFmtId="0" fontId="3" fillId="0" borderId="0" xfId="0" applyFont="1" applyAlignment="1">
      <alignment wrapText="1"/>
    </xf>
    <xf numFmtId="0" fontId="5" fillId="0" borderId="0" xfId="0" applyFont="1" applyAlignment="1">
      <alignment wrapText="1"/>
    </xf>
    <xf numFmtId="0" fontId="3" fillId="0" borderId="0" xfId="0" applyFont="1" applyAlignment="1">
      <alignment horizontal="center" wrapText="1"/>
    </xf>
    <xf numFmtId="0" fontId="3" fillId="0" borderId="0" xfId="0" applyFont="1" applyAlignment="1">
      <alignment horizontal="center"/>
    </xf>
    <xf numFmtId="0" fontId="2" fillId="0" borderId="0" xfId="0" applyFont="1" applyAlignment="1"/>
    <xf numFmtId="0" fontId="1"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vertical="center" wrapText="1"/>
    </xf>
    <xf numFmtId="0" fontId="1" fillId="0" borderId="0" xfId="0" applyFont="1"/>
    <xf numFmtId="0" fontId="1" fillId="0" borderId="0" xfId="0" applyFont="1" applyAlignment="1">
      <alignment wrapText="1"/>
    </xf>
    <xf numFmtId="0" fontId="2" fillId="0" borderId="0" xfId="0" applyFont="1" applyAlignment="1">
      <alignment wrapText="1"/>
    </xf>
    <xf numFmtId="0" fontId="10" fillId="0" borderId="0" xfId="0" applyFont="1" applyAlignment="1">
      <alignment vertical="center"/>
    </xf>
    <xf numFmtId="0" fontId="2" fillId="0" borderId="0" xfId="0" applyFont="1" applyAlignment="1">
      <alignment horizontal="left" vertical="center" indent="1"/>
    </xf>
    <xf numFmtId="0" fontId="11" fillId="0" borderId="0" xfId="0" applyFont="1" applyAlignment="1">
      <alignment vertical="center" wrapText="1"/>
    </xf>
    <xf numFmtId="0" fontId="12" fillId="0" borderId="0" xfId="0" applyFont="1"/>
    <xf numFmtId="0" fontId="13" fillId="0" borderId="0" xfId="0" applyFont="1" applyAlignment="1">
      <alignment horizontal="left" vertical="center" wrapText="1"/>
    </xf>
    <xf numFmtId="0" fontId="11" fillId="0" borderId="0" xfId="0" applyFont="1" applyAlignment="1">
      <alignment wrapText="1"/>
    </xf>
    <xf numFmtId="0" fontId="11" fillId="0" borderId="0" xfId="0" applyFont="1" applyAlignment="1"/>
    <xf numFmtId="0" fontId="9" fillId="2" borderId="0" xfId="0" applyFont="1" applyFill="1" applyAlignment="1">
      <alignment horizontal="center" wrapText="1"/>
    </xf>
  </cellXfs>
  <cellStyles count="1">
    <cellStyle name="Normal" xfId="0" builtinId="0"/>
  </cellStyles>
  <dxfs count="140">
    <dxf>
      <font>
        <b/>
        <i val="0"/>
        <strike val="0"/>
        <condense val="0"/>
        <extend val="0"/>
        <outline val="0"/>
        <shadow val="0"/>
        <u val="none"/>
        <vertAlign val="baseline"/>
        <sz val="11"/>
        <color auto="1"/>
        <name val="Calibri"/>
        <family val="2"/>
        <scheme val="none"/>
      </font>
      <fill>
        <patternFill patternType="solid">
          <fgColor indexed="64"/>
          <bgColor theme="0" tint="-4.9989318521683403E-2"/>
        </patternFill>
      </fill>
      <alignment horizontal="center" vertical="bottom" textRotation="0" wrapText="1" indent="0" justifyLastLine="0" shrinkToFit="0" readingOrder="0"/>
    </dxf>
    <dxf>
      <font>
        <b/>
        <i val="0"/>
      </font>
      <fill>
        <patternFill>
          <bgColor rgb="FFF2C94C"/>
        </patternFill>
      </fill>
    </dxf>
    <dxf>
      <fill>
        <patternFill>
          <bgColor rgb="FFF2C94C"/>
        </patternFill>
      </fill>
    </dxf>
    <dxf>
      <fill>
        <patternFill>
          <bgColor rgb="FFE55300"/>
        </patternFill>
      </fill>
    </dxf>
    <dxf>
      <font>
        <b/>
        <i val="0"/>
        <color theme="0"/>
      </font>
      <fill>
        <patternFill>
          <bgColor rgb="FF8B0000"/>
        </patternFill>
      </fill>
    </dxf>
    <dxf>
      <font>
        <color theme="0"/>
      </font>
      <fill>
        <patternFill>
          <bgColor rgb="FF2E7D32"/>
        </patternFill>
      </fill>
    </dxf>
    <dxf>
      <font>
        <color theme="0"/>
      </font>
      <fill>
        <patternFill>
          <bgColor rgb="FF2E7D32"/>
        </patternFill>
      </fill>
    </dxf>
    <dxf>
      <fill>
        <patternFill>
          <bgColor rgb="FFF2C94C"/>
        </patternFill>
      </fill>
    </dxf>
    <dxf>
      <fill>
        <patternFill>
          <bgColor rgb="FFE55300"/>
        </patternFill>
      </fill>
    </dxf>
    <dxf>
      <font>
        <b/>
        <i val="0"/>
        <color theme="0"/>
      </font>
      <fill>
        <patternFill>
          <bgColor rgb="FF8B0000"/>
        </patternFill>
      </fill>
    </dxf>
    <dxf>
      <font>
        <b/>
        <i val="0"/>
        <color theme="0"/>
      </font>
      <fill>
        <patternFill>
          <bgColor rgb="FF7A0019"/>
        </patternFill>
      </fill>
    </dxf>
    <dxf>
      <font>
        <b/>
        <i val="0"/>
        <color theme="0"/>
      </font>
      <fill>
        <patternFill>
          <bgColor rgb="FF8A5A00"/>
        </patternFill>
      </fill>
    </dxf>
    <dxf>
      <font>
        <b/>
        <i val="0"/>
        <color theme="0"/>
      </font>
      <fill>
        <patternFill>
          <bgColor rgb="FF0B5D1E"/>
        </patternFill>
      </fill>
    </dxf>
    <dxf>
      <font>
        <b/>
        <i val="0"/>
        <color theme="0"/>
      </font>
      <fill>
        <patternFill>
          <bgColor rgb="FF0B5D1E"/>
        </patternFill>
      </fill>
    </dxf>
    <dxf>
      <font>
        <b/>
        <i val="0"/>
        <color theme="0"/>
      </font>
      <fill>
        <patternFill>
          <bgColor rgb="FF3F7F4C"/>
        </patternFill>
      </fill>
    </dxf>
    <dxf>
      <font>
        <b/>
        <i val="0"/>
        <color theme="0"/>
      </font>
      <fill>
        <patternFill>
          <bgColor rgb="FF8A5A00"/>
        </patternFill>
      </fill>
    </dxf>
    <dxf>
      <font>
        <b/>
        <i val="0"/>
        <color theme="0"/>
      </font>
      <fill>
        <patternFill>
          <bgColor rgb="FF9C2F2F"/>
        </patternFill>
      </fill>
    </dxf>
    <dxf>
      <font>
        <b/>
        <i val="0"/>
        <color theme="0"/>
      </font>
      <fill>
        <patternFill>
          <bgColor rgb="FF7A0019"/>
        </patternFill>
      </fill>
    </dxf>
    <dxf>
      <font>
        <b/>
        <i val="0"/>
        <color theme="0"/>
      </font>
      <fill>
        <patternFill>
          <bgColor rgb="FF7A0019"/>
        </patternFill>
      </fill>
    </dxf>
    <dxf>
      <font>
        <b/>
        <i val="0"/>
        <color theme="0"/>
      </font>
      <fill>
        <patternFill>
          <bgColor rgb="FF8A5A00"/>
        </patternFill>
      </fill>
    </dxf>
    <dxf>
      <font>
        <b/>
        <i val="0"/>
        <color theme="0"/>
      </font>
      <fill>
        <patternFill>
          <bgColor rgb="FF0B5D1E"/>
        </patternFill>
      </fill>
    </dxf>
    <dxf>
      <font>
        <b/>
        <i val="0"/>
        <color theme="0"/>
      </font>
      <fill>
        <patternFill>
          <bgColor rgb="FF9C2F2F"/>
        </patternFill>
      </fill>
    </dxf>
    <dxf>
      <font>
        <b/>
        <i val="0"/>
        <color theme="0"/>
      </font>
      <fill>
        <patternFill>
          <bgColor rgb="FF3F7F4C"/>
        </patternFill>
      </fill>
    </dxf>
    <dxf>
      <font>
        <b/>
        <i val="0"/>
      </font>
      <fill>
        <patternFill patternType="solid">
          <bgColor rgb="FFE6E6E6"/>
        </patternFill>
      </fill>
    </dxf>
    <dxf>
      <font>
        <b/>
        <i val="0"/>
        <color theme="0"/>
      </font>
      <fill>
        <patternFill>
          <bgColor rgb="FF0B5D1E"/>
        </patternFill>
      </fill>
    </dxf>
    <dxf>
      <font>
        <b/>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dxf>
    <dxf>
      <font>
        <b/>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color theme="0"/>
      </font>
      <fill>
        <patternFill>
          <bgColor rgb="FF2E7D32"/>
        </patternFill>
      </fill>
    </dxf>
    <dxf>
      <fill>
        <patternFill>
          <bgColor rgb="FFF2C94C"/>
        </patternFill>
      </fill>
    </dxf>
    <dxf>
      <fill>
        <patternFill>
          <bgColor rgb="FFE55300"/>
        </patternFill>
      </fill>
    </dxf>
    <dxf>
      <font>
        <b/>
        <i val="0"/>
        <color theme="0"/>
      </font>
      <fill>
        <patternFill>
          <bgColor rgb="FF8B0000"/>
        </patternFill>
      </fill>
    </dxf>
    <dxf>
      <font>
        <b val="0"/>
        <i val="0"/>
        <color theme="0"/>
      </font>
      <fill>
        <patternFill>
          <bgColor rgb="FF2E7D32"/>
        </patternFill>
      </fill>
    </dxf>
    <dxf>
      <font>
        <color theme="1"/>
      </font>
      <fill>
        <patternFill>
          <bgColor rgb="FFF2C94C"/>
        </patternFill>
      </fill>
    </dxf>
    <dxf>
      <fill>
        <patternFill>
          <bgColor rgb="FFE55300"/>
        </patternFill>
      </fill>
    </dxf>
    <dxf>
      <font>
        <b/>
        <i val="0"/>
        <color theme="0"/>
      </font>
      <fill>
        <patternFill>
          <bgColor rgb="FF8B0000"/>
        </patternFill>
      </fill>
    </dxf>
    <dxf>
      <font>
        <b/>
        <i val="0"/>
        <color rgb="FF044230"/>
      </font>
      <fill>
        <patternFill>
          <bgColor rgb="FFB6E4B8"/>
        </patternFill>
      </fill>
    </dxf>
    <dxf>
      <font>
        <b/>
        <i val="0"/>
        <color rgb="FF8A6D00"/>
      </font>
      <fill>
        <patternFill>
          <bgColor rgb="FFFEF9C3"/>
        </patternFill>
      </fill>
    </dxf>
    <dxf>
      <font>
        <b/>
        <i val="0"/>
        <color rgb="FF9A3412"/>
      </font>
      <fill>
        <patternFill>
          <bgColor rgb="FFFFE4C7"/>
        </patternFill>
      </fill>
    </dxf>
    <dxf>
      <font>
        <b/>
        <i val="0"/>
        <color rgb="FF7F1D1D"/>
      </font>
      <fill>
        <patternFill>
          <bgColor rgb="FFFDECEA"/>
        </patternFill>
      </fill>
    </dxf>
    <dxf>
      <font>
        <b/>
        <i val="0"/>
        <color rgb="FF8A6D00"/>
      </font>
      <fill>
        <patternFill>
          <bgColor rgb="FFFFF8E1"/>
        </patternFill>
      </fill>
    </dxf>
    <dxf>
      <font>
        <b/>
        <i val="0"/>
        <color rgb="FF7F1D1D"/>
      </font>
      <fill>
        <patternFill>
          <bgColor rgb="FFFDECEA"/>
        </patternFill>
      </fill>
    </dxf>
    <dxf>
      <font>
        <b/>
        <i val="0"/>
        <color rgb="FF0D47A1"/>
      </font>
      <fill>
        <patternFill>
          <bgColor rgb="FFE3F2FD"/>
        </patternFill>
      </fill>
    </dxf>
    <dxf>
      <font>
        <b/>
        <i val="0"/>
        <color rgb="FF1B5E20"/>
      </font>
      <fill>
        <patternFill>
          <bgColor rgb="FFE8F5E9"/>
        </patternFill>
      </fill>
    </dxf>
    <dxf>
      <font>
        <b/>
        <i val="0"/>
      </font>
      <fill>
        <patternFill>
          <bgColor rgb="FFE6E6E6"/>
        </patternFill>
      </fill>
    </dxf>
    <dxf>
      <font>
        <b/>
        <i val="0"/>
      </font>
      <fill>
        <patternFill>
          <bgColor rgb="FFF1C232"/>
        </patternFill>
      </fill>
    </dxf>
    <dxf>
      <font>
        <b/>
        <i val="0"/>
        <color theme="0"/>
      </font>
      <fill>
        <patternFill>
          <bgColor rgb="FF0B5D1E"/>
        </patternFill>
      </fill>
    </dxf>
    <dxf>
      <font>
        <b/>
        <i val="0"/>
        <color theme="0"/>
      </font>
      <fill>
        <patternFill>
          <bgColor rgb="FF7A0019"/>
        </patternFill>
      </fill>
    </dxf>
    <dxf>
      <font>
        <b/>
        <i val="0"/>
        <color theme="0"/>
      </font>
      <fill>
        <patternFill>
          <bgColor rgb="FF8A5A00"/>
        </patternFill>
      </fill>
    </dxf>
    <dxf>
      <font>
        <b/>
        <i val="0"/>
        <color theme="0"/>
      </font>
      <fill>
        <patternFill>
          <bgColor rgb="FF0B5D1E"/>
        </patternFill>
      </fill>
    </dxf>
    <dxf>
      <font>
        <b/>
        <i val="0"/>
        <color theme="0"/>
      </font>
      <fill>
        <patternFill>
          <bgColor rgb="FF0B5D1E"/>
        </patternFill>
      </fill>
    </dxf>
    <dxf>
      <font>
        <b/>
        <i val="0"/>
        <color theme="0"/>
      </font>
      <fill>
        <patternFill>
          <bgColor rgb="FF3F7F4C"/>
        </patternFill>
      </fill>
    </dxf>
    <dxf>
      <font>
        <b/>
        <i val="0"/>
        <color theme="0"/>
      </font>
      <fill>
        <patternFill>
          <bgColor rgb="FF8A5A00"/>
        </patternFill>
      </fill>
    </dxf>
    <dxf>
      <font>
        <b/>
        <i val="0"/>
        <color theme="0"/>
      </font>
      <fill>
        <patternFill>
          <bgColor rgb="FF9C2F2F"/>
        </patternFill>
      </fill>
    </dxf>
    <dxf>
      <font>
        <b/>
        <i val="0"/>
        <color theme="0"/>
      </font>
      <fill>
        <patternFill>
          <bgColor rgb="FF7A0019"/>
        </patternFill>
      </fill>
    </dxf>
    <dxf>
      <font>
        <b/>
        <i val="0"/>
        <color theme="0"/>
      </font>
      <fill>
        <patternFill>
          <bgColor rgb="FF7A0019"/>
        </patternFill>
      </fill>
    </dxf>
    <dxf>
      <font>
        <b/>
        <i val="0"/>
        <color theme="0"/>
      </font>
      <fill>
        <patternFill>
          <bgColor rgb="FF9C2F2F"/>
        </patternFill>
      </fill>
    </dxf>
    <dxf>
      <font>
        <b/>
        <i val="0"/>
        <color theme="0"/>
      </font>
      <fill>
        <patternFill>
          <bgColor rgb="FF8A5A00"/>
        </patternFill>
      </fill>
    </dxf>
    <dxf>
      <font>
        <b/>
        <i val="0"/>
        <color theme="0"/>
      </font>
      <fill>
        <patternFill>
          <bgColor rgb="FF3F7F4C"/>
        </patternFill>
      </fill>
    </dxf>
    <dxf>
      <font>
        <b/>
        <i val="0"/>
        <color theme="0"/>
      </font>
      <fill>
        <patternFill>
          <bgColor rgb="FF0B5D1E"/>
        </patternFill>
      </fill>
    </dxf>
    <dxf>
      <font>
        <b/>
        <i val="0"/>
        <color theme="0"/>
      </font>
      <fill>
        <patternFill>
          <bgColor rgb="FFB71C1C"/>
        </patternFill>
      </fill>
    </dxf>
    <dxf>
      <font>
        <b/>
        <i val="0"/>
        <color rgb="FF1F1F1F"/>
      </font>
      <fill>
        <patternFill>
          <bgColor rgb="FFFBC02D"/>
        </patternFill>
      </fill>
    </dxf>
    <dxf>
      <font>
        <b/>
        <i val="0"/>
        <color theme="0"/>
      </font>
      <fill>
        <patternFill>
          <bgColor rgb="FF388E3C"/>
        </patternFill>
      </fill>
    </dxf>
    <dxf>
      <font>
        <b/>
        <i val="0"/>
        <color rgb="FF7F1D1D"/>
      </font>
      <fill>
        <patternFill>
          <bgColor rgb="FFFDECEA"/>
        </patternFill>
      </fill>
    </dxf>
    <dxf>
      <font>
        <b/>
        <i val="0"/>
        <color rgb="FF1F1F1F"/>
      </font>
      <fill>
        <patternFill>
          <bgColor rgb="FFE8F5E9"/>
        </patternFill>
      </fill>
    </dxf>
    <dxf>
      <font>
        <b/>
        <i val="0"/>
        <color rgb="FF1F1F1F"/>
      </font>
      <fill>
        <patternFill>
          <bgColor rgb="FFFFF9C4"/>
        </patternFill>
      </fill>
    </dxf>
    <dxf>
      <font>
        <b/>
        <i val="0"/>
        <color rgb="FF1F1F1F"/>
      </font>
      <fill>
        <patternFill>
          <bgColor rgb="FFFFE082"/>
        </patternFill>
      </fill>
    </dxf>
    <dxf>
      <font>
        <b/>
        <i val="0"/>
        <color rgb="FF1F1F1F"/>
      </font>
      <fill>
        <patternFill>
          <bgColor rgb="FFFFB74D"/>
        </patternFill>
      </fill>
    </dxf>
    <dxf>
      <font>
        <b/>
        <i val="0"/>
        <color rgb="FF1F1F1F"/>
      </font>
      <fill>
        <patternFill>
          <bgColor rgb="FFFF8A80"/>
        </patternFill>
      </fill>
    </dxf>
    <dxf>
      <font>
        <b/>
        <i val="0"/>
        <color rgb="FF7F1D1D"/>
      </font>
      <fill>
        <patternFill>
          <bgColor rgb="FFFDECEA"/>
        </patternFill>
      </fill>
    </dxf>
    <dxf>
      <font>
        <b/>
        <i val="0"/>
        <color rgb="FF9A3412"/>
      </font>
      <fill>
        <patternFill>
          <bgColor rgb="FFFFE4C7"/>
        </patternFill>
      </fill>
    </dxf>
    <dxf>
      <font>
        <b/>
        <i val="0"/>
        <color rgb="FF8A6D00"/>
      </font>
      <fill>
        <patternFill>
          <bgColor rgb="FFFEF9C3"/>
        </patternFill>
      </fill>
    </dxf>
    <dxf>
      <font>
        <b/>
        <i val="0"/>
        <color rgb="FF044230"/>
      </font>
      <fill>
        <patternFill>
          <bgColor rgb="FFB6E4B8"/>
        </patternFill>
      </fill>
    </dxf>
    <dxf>
      <font>
        <b/>
        <i val="0"/>
        <color rgb="FF8A6D00"/>
      </font>
      <fill>
        <patternFill>
          <bgColor rgb="FFFFF8E1"/>
        </patternFill>
      </fill>
    </dxf>
    <dxf>
      <font>
        <b/>
        <i val="0"/>
        <color rgb="FF7F1D1D"/>
      </font>
      <fill>
        <patternFill>
          <bgColor rgb="FFFDECEA"/>
        </patternFill>
      </fill>
    </dxf>
    <dxf>
      <font>
        <b/>
        <i val="0"/>
        <color rgb="FF0D47A1"/>
      </font>
      <fill>
        <patternFill>
          <bgColor rgb="FFE3F2FD"/>
        </patternFill>
      </fill>
    </dxf>
    <dxf>
      <font>
        <b/>
        <i val="0"/>
        <color rgb="FF1B5E20"/>
      </font>
      <fill>
        <patternFill>
          <bgColor rgb="FFE8F5E9"/>
        </patternFill>
      </fill>
    </dxf>
    <dxf>
      <font>
        <b val="0"/>
        <i val="0"/>
        <strike val="0"/>
        <condense val="0"/>
        <extend val="0"/>
        <outline val="0"/>
        <shadow val="0"/>
        <u val="none"/>
        <vertAlign val="baseline"/>
        <sz val="11"/>
        <color theme="0"/>
        <name val="Calibri"/>
        <family val="2"/>
        <scheme val="none"/>
      </font>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none"/>
      </font>
      <numFmt numFmtId="0" formatCode="General"/>
      <alignment horizontal="center" vertical="bottom" textRotation="0" wrapText="1" indent="0" justifyLastLine="0" shrinkToFit="0" readingOrder="0"/>
    </dxf>
    <dxf>
      <font>
        <b val="0"/>
        <i val="0"/>
        <strike val="0"/>
        <condense val="0"/>
        <extend val="0"/>
        <outline val="0"/>
        <shadow val="0"/>
        <u val="none"/>
        <vertAlign val="baseline"/>
        <sz val="11"/>
        <color theme="0"/>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i val="0"/>
        <strike val="0"/>
        <condense val="0"/>
        <extend val="0"/>
        <outline val="0"/>
        <shadow val="0"/>
        <u val="none"/>
        <vertAlign val="baseline"/>
        <sz val="11"/>
        <color auto="1"/>
        <name val="Calibri"/>
        <family val="2"/>
        <scheme val="none"/>
      </font>
      <fill>
        <patternFill patternType="solid">
          <fgColor indexed="64"/>
          <bgColor theme="0" tint="-4.9989318521683403E-2"/>
        </patternFill>
      </fill>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0" formatCode="General"/>
      <alignment horizontal="general" vertical="bottom" textRotation="0" wrapText="1" indent="0" justifyLastLine="0" shrinkToFit="0" readingOrder="0"/>
    </dxf>
    <dxf>
      <font>
        <b/>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0" formatCode="General"/>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0" formatCode="General"/>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0" formatCode="General"/>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s>
  <tableStyles count="0" defaultTableStyle="TableStyleMedium2" defaultPivotStyle="PivotStyleLight16"/>
  <colors>
    <mruColors>
      <color rgb="FFF2C94C"/>
      <color rgb="FF8B0000"/>
      <color rgb="FFE55300"/>
      <color rgb="FF2E7D32"/>
      <color rgb="FFB6E4B8"/>
      <color rgb="FF044230"/>
      <color rgb="FFAAE0AD"/>
      <color rgb="FF7ED082"/>
      <color rgb="FF8A6D00"/>
      <color rgb="FFFEF9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D:\Documents\GRC_Portfolio_RiskRegister_Project\Risk_Register.xlsx" TargetMode="External"/><Relationship Id="rId1" Type="http://schemas.openxmlformats.org/officeDocument/2006/relationships/externalLinkPath" Target="/Documents/GRC_Portfolio_RiskRegister_Project/Risk_Regis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isk Register"/>
      <sheetName val="Legend &amp; Methodology"/>
    </sheetNames>
    <sheetDataSet>
      <sheetData sheetId="0"/>
      <sheetData sheetId="1"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AB6F2BC-9F43-4BC7-AFA5-9EAC4BC9B379}" name="Table2" displayName="Table2" ref="A1:Q16" totalsRowShown="0" headerRowDxfId="0" dataDxfId="137">
  <autoFilter ref="A1:Q16" xr:uid="{2AB6F2BC-9F43-4BC7-AFA5-9EAC4BC9B379}"/>
  <tableColumns count="17">
    <tableColumn id="1" xr3:uid="{FA1A574C-5D81-41E2-9723-908BAD8559D1}" name="Control ID" dataDxfId="139"/>
    <tableColumn id="2" xr3:uid="{DB37E902-478E-47CB-8B38-09028020752E}" name="Requirement" dataDxfId="125"/>
    <tableColumn id="3" xr3:uid="{3994B536-0F1A-423C-97C7-A3707A074FAC}" name="Current Status" dataDxfId="123"/>
    <tableColumn id="4" xr3:uid="{EA4D237D-87D6-434A-8A35-EA9E24E09941}" name="Maturity Level (Text)" dataDxfId="124"/>
    <tableColumn id="5" xr3:uid="{534053D4-C81B-4F65-9B0E-66296EF11CA1}" name="Maturity Level (Numeric)" dataDxfId="135">
      <calculatedColumnFormula>IF(Table2[[#This Row],[Current Status]]="Planned",1,
IF(Table2[[#This Row],[Current Status]]="Partially Implemented",3,
IF(Table2[[#This Row],[Current Status]]="Implemented",5,"")))</calculatedColumnFormula>
    </tableColumn>
    <tableColumn id="6" xr3:uid="{05B214C7-26B5-4C39-BAD6-17368E93708F}" name="Control Owner" dataDxfId="136"/>
    <tableColumn id="7" xr3:uid="{BE42E17B-1044-4ADC-B541-D2B5205CCB9B}" name="Action Needed" dataDxfId="128"/>
    <tableColumn id="8" xr3:uid="{C86C4AD5-FE2D-45BC-87FA-18DA41369B66}" name="Target Date" dataDxfId="126"/>
    <tableColumn id="9" xr3:uid="{B97F7A9A-4522-472D-B060-9B88969AC681}" name="Linked Risk IDs" dataDxfId="127"/>
    <tableColumn id="16" xr3:uid="{053F6083-EA8D-4B3F-82EE-D3441706086E}" name="Linked Risk IDs (Normalized)" dataDxfId="131"/>
    <tableColumn id="10" xr3:uid="{0885FC22-7127-4C1E-A00C-B8AF52843E27}" name="Calculated Risk Score" dataDxfId="129">
      <calculatedColumnFormula array="1">SUMPRODUCT(
--ISNUMBER(
SEARCH(
"|" &amp; [1]!RiskRegister[Risk ID] &amp; "|",
Table2[[#This Row],[Linked Risk IDs (Normalized)]]
)
),
[1]!RiskRegister[Risk Score (Inherent)]
)</calculatedColumnFormula>
    </tableColumn>
    <tableColumn id="11" xr3:uid="{BBC62C65-F28D-4D45-BFEF-BB0CBD300CB2}" name="Risk Context" dataDxfId="130"/>
    <tableColumn id="12" xr3:uid="{349C2174-C549-4419-B3C5-22451F40A2A8}" name="Dependencies" dataDxfId="138"/>
    <tableColumn id="13" xr3:uid="{F84640BC-DA09-42A4-A210-426BB86CB3A6}" name="Control Criticality (Text)" dataDxfId="133"/>
    <tableColumn id="15" xr3:uid="{3435B1A0-5C64-4CD1-8806-0E16192CC221}" name="Control Criticality (Numeric)" dataDxfId="132">
      <calculatedColumnFormula>IF(Table2[[#This Row],[Control Criticality (Text)]]="High",3,
IF(Table2[[#This Row],[Control Criticality (Text)]]="Medium",2,
IF(Table2[[#This Row],[Control Criticality (Text)]]="Low",1,"")))</calculatedColumnFormula>
    </tableColumn>
    <tableColumn id="17" xr3:uid="{BB458E1A-06C5-4110-8E7C-0881F3DEDE2B}" name="Priority Level (Text)" dataDxfId="122">
      <calculatedColumnFormula array="1">_xlfn.IFS(
Table2[[#This Row],[Priority Score]]&gt;=100,"Critical",
Table2[[#This Row],[Priority Score]]&gt;=50,"High",
Table2[[#This Row],[Priority Score]]&gt;=20,"Medium",
TRUE,"Low"
)</calculatedColumnFormula>
    </tableColumn>
    <tableColumn id="14" xr3:uid="{FF65219F-E5DC-41C3-A351-3BB60EDFE61D}" name="Priority Score" dataDxfId="134">
      <calculatedColumnFormula>ROUND((Table2[[#This Row],[Calculated Risk Score]] * Table2[[#This Row],[Control Criticality (Numeric)]]) / Table2[[#This Row],[Maturity Level (Numeric)]], 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D3A4121-7218-4408-B1B3-E5F61AE8B0E6}" name="AssetRegister" displayName="AssetRegister" ref="A1:O24" totalsRowShown="0" headerRowDxfId="111" dataDxfId="115">
  <autoFilter ref="A1:O24" xr:uid="{CD3A4121-7218-4408-B1B3-E5F61AE8B0E6}"/>
  <tableColumns count="15">
    <tableColumn id="1" xr3:uid="{CEE4008A-2E15-4B33-8E63-B448513F248C}" name="Asset ID" dataDxfId="114"/>
    <tableColumn id="2" xr3:uid="{67EA9201-43CF-45B5-BC0F-4E4286376B70}" name="Asset Name" dataDxfId="112"/>
    <tableColumn id="3" xr3:uid="{9F7CD622-04D1-4645-AB17-5CE5E1F0AB45}" name="Type" dataDxfId="113"/>
    <tableColumn id="4" xr3:uid="{7D5C5EF4-FC9A-4658-A7FD-7D8644F55FE4}" name="Asset Owner (Accountable)" dataDxfId="110"/>
    <tableColumn id="5" xr3:uid="{FF4D0D62-A6C1-4501-92BF-761FEF2EA5F1}" name="Custodian (Technical)" dataDxfId="108"/>
    <tableColumn id="6" xr3:uid="{5087B1B6-5DDD-4299-A76D-91A9BD4262B4}" name="Location" dataDxfId="109"/>
    <tableColumn id="7" xr3:uid="{52F15D13-449C-4D4E-8C8D-02755A6D8209}" name="Classification" dataDxfId="121"/>
    <tableColumn id="8" xr3:uid="{31995D23-FC34-420B-9865-90EFEBB3DABE}" name="Criticality" dataDxfId="107"/>
    <tableColumn id="14" xr3:uid="{5819C495-095A-4F76-B2FD-2E6BAF4DDABC}" name="Suggested Likelihood" dataDxfId="106">
      <calculatedColumnFormula array="1">_xlfn.SWITCH(
AssetRegister[[#This Row],[Criticality]],
"Low",1,
"Medium",2,
"High",3,
"Critical",4
)</calculatedColumnFormula>
    </tableColumn>
    <tableColumn id="15" xr3:uid="{93CB4DA3-11C1-44FB-B76C-1274765B1201}" name="Criticality Warning" dataDxfId="105">
      <calculatedColumnFormula>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calculatedColumnFormula>
    </tableColumn>
    <tableColumn id="9" xr3:uid="{FE1EFD61-9265-477D-9994-A302415E6688}" name="Responsible Control" dataDxfId="120"/>
    <tableColumn id="10" xr3:uid="{FA44B0CA-B7A9-467C-999F-91B3118A6C8C}" name="Backup Status" dataDxfId="119"/>
    <tableColumn id="11" xr3:uid="{974B8FBB-D51D-4E56-8A7C-688536C8D29E}" name="Encryption Status" dataDxfId="118"/>
    <tableColumn id="12" xr3:uid="{9DA632F7-B409-48C7-8726-E989E3AF0A72}" name="Patch Status" dataDxfId="117"/>
    <tableColumn id="13" xr3:uid="{086C828D-0FF5-407D-B894-77C49FCB3F48}" name="Notes" dataDxfId="11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89488EE-DE60-4B19-9CDF-E47E9BBDD4CF}" name="Table13" displayName="Table13" ref="A9:E14" totalsRowShown="0" headerRowDxfId="49" dataDxfId="50">
  <autoFilter ref="A9:E14" xr:uid="{589488EE-DE60-4B19-9CDF-E47E9BBDD4CF}"/>
  <tableColumns count="5">
    <tableColumn id="1" xr3:uid="{2020679A-5BDA-4A0D-85D3-74642F6051FF}" name="Maturity Level" dataDxfId="55"/>
    <tableColumn id="2" xr3:uid="{B8D640E9-DB5E-443B-9447-DEEBD4D567DB}" name="Score" dataDxfId="54"/>
    <tableColumn id="3" xr3:uid="{83004DAB-2EB3-48FD-AE64-F8664CE42329}" name="Definition" dataDxfId="53"/>
    <tableColumn id="4" xr3:uid="{9B5290C7-B59D-4343-947E-C6AEA21CCB51}" name="Interpretation" dataDxfId="52"/>
    <tableColumn id="5" xr3:uid="{BAB3767F-ED0F-4FA7-9AD5-270B4C9E5E60}" name="Required Action" dataDxfId="5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374D604-2202-49C9-9EFD-B13C6C75FA59}" name="Table14" displayName="Table14" ref="A26:C29" totalsRowShown="0" headerRowDxfId="44" dataDxfId="45">
  <autoFilter ref="A26:C29" xr:uid="{5374D604-2202-49C9-9EFD-B13C6C75FA59}"/>
  <tableColumns count="3">
    <tableColumn id="1" xr3:uid="{8C0EA0C9-A37A-495C-A0A7-6ED9AAD30174}" name="Criticality" dataDxfId="48"/>
    <tableColumn id="2" xr3:uid="{99B64358-8139-445C-ADF2-DD6270C99BDF}" name="Meaning" dataDxfId="47"/>
    <tableColumn id="3" xr3:uid="{3B09960C-84B1-4A86-BF32-2E58D08BC2DD}" name="Typical Use" dataDxfId="4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7341B8-BCF2-40B1-AE4B-06C4637E4B3D}" name="Table15" displayName="Table15" ref="F26:H29" totalsRowShown="0" headerRowDxfId="39" dataDxfId="40">
  <autoFilter ref="F26:H29" xr:uid="{807341B8-BCF2-40B1-AE4B-06C4637E4B3D}"/>
  <tableColumns count="3">
    <tableColumn id="1" xr3:uid="{B18DBCA3-46E3-406B-A807-055A51431F90}" name="Status" dataDxfId="43"/>
    <tableColumn id="2" xr3:uid="{EB60B64A-0DEA-4837-B680-B64FAB9EA82A}" name="Meaning" dataDxfId="42"/>
    <tableColumn id="3" xr3:uid="{DE81C66B-F1E0-4388-A7A0-6D1F807204EC}" name="Notes" dataDxfId="4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9A26F51-956E-4EC5-BA8C-E344DD3D16BB}" name="Table16" displayName="Table16" ref="A41:C45" totalsRowShown="0" headerRowDxfId="34" dataDxfId="35">
  <autoFilter ref="A41:C45" xr:uid="{09A26F51-956E-4EC5-BA8C-E344DD3D16BB}"/>
  <tableColumns count="3">
    <tableColumn id="1" xr3:uid="{06B90930-80EC-416A-8DB3-7D07A9D6B1EF}" name="Classification" dataDxfId="38"/>
    <tableColumn id="2" xr3:uid="{56440449-0868-4652-8980-EE3B07477FD3}" name="Definition" dataDxfId="37"/>
    <tableColumn id="3" xr3:uid="{82FB7AA3-F05D-4ADA-B4C6-D04EF868A107}" name="Example Data" dataDxfId="36"/>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90803B9-2A14-4A55-9800-6E58B4C9A5B2}" name="Table17" displayName="Table17" ref="F41:H45" totalsRowShown="0" headerRowDxfId="29" dataDxfId="30">
  <autoFilter ref="F41:H45" xr:uid="{B90803B9-2A14-4A55-9800-6E58B4C9A5B2}"/>
  <tableColumns count="3">
    <tableColumn id="1" xr3:uid="{353DD992-4788-48A3-99D1-48B04A5A92F8}" name="Criticality" dataDxfId="33"/>
    <tableColumn id="2" xr3:uid="{DFD53ADC-9AE5-4EEE-8AED-6E6BB4BEDC09}" name="Description" dataDxfId="32"/>
    <tableColumn id="3" xr3:uid="{98CDB070-8945-44A6-8FBA-FC1444EE1922}" name="Impact" dataDxfId="31"/>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961359E-89E2-4524-9DCB-9BDD080FFBDB}" name="Table18" displayName="Table18" ref="A60:C64" totalsRowShown="0" headerRowDxfId="25">
  <autoFilter ref="A60:C64" xr:uid="{4961359E-89E2-4524-9DCB-9BDD080FFBDB}"/>
  <tableColumns count="3">
    <tableColumn id="1" xr3:uid="{8D10BBA7-628B-425C-A94E-F2AAEF1C2C1B}" name="Priority Score Range" dataDxfId="28"/>
    <tableColumn id="2" xr3:uid="{5682ACD3-85B1-4338-9BB8-DFE3B92ED4DB}" name="Priority Level" dataDxfId="27"/>
    <tableColumn id="3" xr3:uid="{1555ED37-E821-497C-A65D-18EC6D7FD34D}" name="Interpretation" dataDxfId="2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5E458-ABEB-45DD-BE17-886B400BDBAF}">
  <dimension ref="A1:AS22"/>
  <sheetViews>
    <sheetView tabSelected="1" zoomScale="88" zoomScaleNormal="96" workbookViewId="0">
      <selection activeCell="G8" sqref="G8"/>
    </sheetView>
  </sheetViews>
  <sheetFormatPr defaultRowHeight="14.4" x14ac:dyDescent="0.3"/>
  <cols>
    <col min="1" max="1" width="15.88671875" style="1" bestFit="1" customWidth="1"/>
    <col min="2" max="2" width="23.5546875" style="4" customWidth="1"/>
    <col min="3" max="3" width="19.77734375" style="1" bestFit="1" customWidth="1"/>
    <col min="4" max="4" width="16.88671875" style="1" customWidth="1"/>
    <col min="5" max="5" width="19.6640625" style="1" customWidth="1"/>
    <col min="6" max="6" width="18.5546875" style="1" bestFit="1" customWidth="1"/>
    <col min="7" max="7" width="32.44140625" style="4" bestFit="1" customWidth="1"/>
    <col min="8" max="8" width="15.77734375" style="14" bestFit="1" customWidth="1"/>
    <col min="9" max="9" width="18.6640625" style="1" bestFit="1" customWidth="1"/>
    <col min="10" max="10" width="18.6640625" style="1" customWidth="1"/>
    <col min="11" max="11" width="15.21875" style="14" bestFit="1" customWidth="1"/>
    <col min="12" max="12" width="60.6640625" style="1" bestFit="1" customWidth="1"/>
    <col min="13" max="13" width="17.88671875" style="1" bestFit="1" customWidth="1"/>
    <col min="14" max="14" width="19.44140625" style="1" bestFit="1" customWidth="1"/>
    <col min="15" max="15" width="16.6640625" style="14" hidden="1" customWidth="1"/>
    <col min="16" max="16" width="16.6640625" style="1" customWidth="1"/>
    <col min="17" max="17" width="17.33203125" style="13" bestFit="1" customWidth="1"/>
    <col min="18" max="33" width="8.88671875" style="1"/>
    <col min="34" max="34" width="19.77734375" style="1" bestFit="1" customWidth="1"/>
    <col min="35" max="35" width="22.33203125" style="1" bestFit="1" customWidth="1"/>
    <col min="36" max="36" width="8.88671875" style="1"/>
    <col min="37" max="38" width="47.5546875" style="1" bestFit="1" customWidth="1"/>
    <col min="39" max="39" width="13.44140625" style="1" bestFit="1" customWidth="1"/>
    <col min="40" max="40" width="19.21875" style="1" bestFit="1" customWidth="1"/>
    <col min="41" max="42" width="41" style="1" bestFit="1" customWidth="1"/>
    <col min="43" max="43" width="16" style="1" bestFit="1" customWidth="1"/>
    <col min="44" max="44" width="12.33203125" style="1" bestFit="1" customWidth="1"/>
    <col min="45" max="16384" width="8.88671875" style="1"/>
  </cols>
  <sheetData>
    <row r="1" spans="1:45" s="8" customFormat="1" ht="28.8" x14ac:dyDescent="0.3">
      <c r="A1" s="8" t="s">
        <v>0</v>
      </c>
      <c r="B1" s="8" t="s">
        <v>1</v>
      </c>
      <c r="C1" s="8" t="s">
        <v>2</v>
      </c>
      <c r="D1" s="8" t="s">
        <v>164</v>
      </c>
      <c r="E1" s="8" t="s">
        <v>137</v>
      </c>
      <c r="F1" s="8" t="s">
        <v>112</v>
      </c>
      <c r="G1" s="8" t="s">
        <v>3</v>
      </c>
      <c r="H1" s="8" t="s">
        <v>116</v>
      </c>
      <c r="I1" s="8" t="s">
        <v>138</v>
      </c>
      <c r="J1" s="8" t="s">
        <v>168</v>
      </c>
      <c r="K1" s="8" t="s">
        <v>139</v>
      </c>
      <c r="L1" s="8" t="s">
        <v>117</v>
      </c>
      <c r="M1" s="8" t="s">
        <v>128</v>
      </c>
      <c r="N1" s="8" t="s">
        <v>180</v>
      </c>
      <c r="O1" s="8" t="s">
        <v>167</v>
      </c>
      <c r="P1" s="8" t="s">
        <v>181</v>
      </c>
      <c r="Q1" s="35" t="s">
        <v>140</v>
      </c>
      <c r="AG1" s="9"/>
      <c r="AH1" s="9"/>
      <c r="AI1" s="9"/>
      <c r="AJ1" s="9"/>
      <c r="AK1" s="9"/>
      <c r="AL1" s="9"/>
      <c r="AM1" s="9"/>
      <c r="AN1" s="9"/>
      <c r="AO1" s="9"/>
      <c r="AP1" s="9"/>
      <c r="AQ1" s="9"/>
      <c r="AR1" s="9"/>
      <c r="AS1" s="9"/>
    </row>
    <row r="2" spans="1:45" ht="43.2" x14ac:dyDescent="0.3">
      <c r="A2" s="4" t="s">
        <v>80</v>
      </c>
      <c r="B2" s="4" t="s">
        <v>82</v>
      </c>
      <c r="C2" s="16" t="s">
        <v>79</v>
      </c>
      <c r="D2" s="10" t="s">
        <v>118</v>
      </c>
      <c r="E2" s="11">
        <f>IF(Table2[[#This Row],[Current Status]]="Planned",1,
IF(Table2[[#This Row],[Current Status]]="Partially Implemented",3,
IF(Table2[[#This Row],[Current Status]]="Implemented",5,"")))</f>
        <v>1</v>
      </c>
      <c r="F2" s="4" t="s">
        <v>33</v>
      </c>
      <c r="G2" s="4" t="s">
        <v>178</v>
      </c>
      <c r="H2" s="15">
        <v>46058</v>
      </c>
      <c r="I2" s="4" t="s">
        <v>141</v>
      </c>
      <c r="J2" s="4" t="s">
        <v>169</v>
      </c>
      <c r="K2" s="11" cm="1">
        <f t="array" ref="K2">SUMPRODUCT(
--ISNUMBER(
SEARCH(
"|" &amp; [1]!RiskRegister[Risk ID] &amp; "|",
Table2[[#This Row],[Linked Risk IDs (Normalized)]]
)
),
[1]!RiskRegister[Risk Score (Inherent)]
)</f>
        <v>45</v>
      </c>
      <c r="L2" s="4" t="s">
        <v>182</v>
      </c>
      <c r="M2" s="4" t="s">
        <v>81</v>
      </c>
      <c r="N2" s="4" t="s">
        <v>12</v>
      </c>
      <c r="O2" s="11">
        <f>IF(Table2[[#This Row],[Control Criticality (Text)]]="High",3,
IF(Table2[[#This Row],[Control Criticality (Text)]]="Medium",2,
IF(Table2[[#This Row],[Control Criticality (Text)]]="Low",1,"")))</f>
        <v>3</v>
      </c>
      <c r="P2" s="4" t="str" cm="1">
        <f t="array" ref="P2">_xlfn.IFS(
Table2[[#This Row],[Priority Score]]&gt;=100,"Critical",
Table2[[#This Row],[Priority Score]]&gt;=50,"High",
Table2[[#This Row],[Priority Score]]&gt;=20,"Medium",
TRUE,"Low"
)</f>
        <v>Critical</v>
      </c>
      <c r="Q2" s="13">
        <f>ROUND((Table2[[#This Row],[Calculated Risk Score]] * Table2[[#This Row],[Control Criticality (Numeric)]]) / Table2[[#This Row],[Maturity Level (Numeric)]], 0)</f>
        <v>135</v>
      </c>
      <c r="AH2" s="4"/>
      <c r="AK2" s="4"/>
      <c r="AM2" s="5"/>
    </row>
    <row r="3" spans="1:45" ht="43.2" x14ac:dyDescent="0.3">
      <c r="A3" s="4" t="s">
        <v>81</v>
      </c>
      <c r="B3" s="4" t="s">
        <v>83</v>
      </c>
      <c r="C3" s="16" t="s">
        <v>79</v>
      </c>
      <c r="D3" s="10" t="s">
        <v>118</v>
      </c>
      <c r="E3" s="11">
        <f>IF(Table2[[#This Row],[Current Status]]="Planned",1,
IF(Table2[[#This Row],[Current Status]]="Partially Implemented",3,
IF(Table2[[#This Row],[Current Status]]="Implemented",5,"")))</f>
        <v>1</v>
      </c>
      <c r="F3" s="4" t="s">
        <v>33</v>
      </c>
      <c r="G3" s="4" t="s">
        <v>142</v>
      </c>
      <c r="H3" s="15">
        <v>46066</v>
      </c>
      <c r="I3" s="4" t="s">
        <v>143</v>
      </c>
      <c r="J3" s="4" t="s">
        <v>170</v>
      </c>
      <c r="K3" s="11" cm="1">
        <f t="array" ref="K3">SUMPRODUCT(
--ISNUMBER(
SEARCH(
"|" &amp; [1]!RiskRegister[Risk ID] &amp; "|",
Table2[[#This Row],[Linked Risk IDs (Normalized)]]
)
),
[1]!RiskRegister[Risk Score (Inherent)]
)</f>
        <v>40</v>
      </c>
      <c r="L3" s="4" t="s">
        <v>183</v>
      </c>
      <c r="M3" s="4" t="s">
        <v>80</v>
      </c>
      <c r="N3" s="4" t="s">
        <v>12</v>
      </c>
      <c r="O3" s="11">
        <f>IF(Table2[[#This Row],[Control Criticality (Text)]]="High",3,
IF(Table2[[#This Row],[Control Criticality (Text)]]="Medium",2,
IF(Table2[[#This Row],[Control Criticality (Text)]]="Low",1,"")))</f>
        <v>3</v>
      </c>
      <c r="P3" s="4" t="str" cm="1">
        <f t="array" ref="P3">_xlfn.IFS(
Table2[[#This Row],[Priority Score]]&gt;=100,"Critical",
Table2[[#This Row],[Priority Score]]&gt;=50,"High",
Table2[[#This Row],[Priority Score]]&gt;=20,"Medium",
TRUE,"Low"
)</f>
        <v>Critical</v>
      </c>
      <c r="Q3" s="13">
        <f>ROUND((Table2[[#This Row],[Calculated Risk Score]] * Table2[[#This Row],[Control Criticality (Numeric)]]) / Table2[[#This Row],[Maturity Level (Numeric)]], 0)</f>
        <v>120</v>
      </c>
      <c r="AH3" s="4"/>
      <c r="AK3" s="4"/>
      <c r="AM3" s="5"/>
    </row>
    <row r="4" spans="1:45" ht="43.2" x14ac:dyDescent="0.3">
      <c r="A4" s="4" t="s">
        <v>77</v>
      </c>
      <c r="B4" s="4" t="s">
        <v>78</v>
      </c>
      <c r="C4" s="16" t="s">
        <v>79</v>
      </c>
      <c r="D4" s="10" t="s">
        <v>118</v>
      </c>
      <c r="E4" s="11">
        <f>IF(Table2[[#This Row],[Current Status]]="Planned",1,
IF(Table2[[#This Row],[Current Status]]="Partially Implemented",3,
IF(Table2[[#This Row],[Current Status]]="Implemented",5,"")))</f>
        <v>1</v>
      </c>
      <c r="F4" s="4" t="s">
        <v>105</v>
      </c>
      <c r="G4" s="4" t="s">
        <v>144</v>
      </c>
      <c r="H4" s="15">
        <v>46068</v>
      </c>
      <c r="I4" s="4" t="s">
        <v>145</v>
      </c>
      <c r="J4" s="4" t="s">
        <v>171</v>
      </c>
      <c r="K4" s="11" cm="1">
        <f t="array" ref="K4">SUMPRODUCT(
--ISNUMBER(
SEARCH(
"|" &amp; [1]!RiskRegister[Risk ID] &amp; "|",
Table2[[#This Row],[Linked Risk IDs (Normalized)]]
)
),
[1]!RiskRegister[Risk Score (Inherent)]
)</f>
        <v>32</v>
      </c>
      <c r="L4" s="4" t="s">
        <v>184</v>
      </c>
      <c r="M4" s="4" t="s">
        <v>101</v>
      </c>
      <c r="N4" s="4" t="s">
        <v>12</v>
      </c>
      <c r="O4" s="11">
        <f>IF(Table2[[#This Row],[Control Criticality (Text)]]="High",3,
IF(Table2[[#This Row],[Control Criticality (Text)]]="Medium",2,
IF(Table2[[#This Row],[Control Criticality (Text)]]="Low",1,"")))</f>
        <v>3</v>
      </c>
      <c r="P4" s="4" t="str" cm="1">
        <f t="array" ref="P4">_xlfn.IFS(
Table2[[#This Row],[Priority Score]]&gt;=100,"Critical",
Table2[[#This Row],[Priority Score]]&gt;=50,"High",
Table2[[#This Row],[Priority Score]]&gt;=20,"Medium",
TRUE,"Low"
)</f>
        <v>High</v>
      </c>
      <c r="Q4" s="13">
        <f>ROUND((Table2[[#This Row],[Calculated Risk Score]] * Table2[[#This Row],[Control Criticality (Numeric)]]) / Table2[[#This Row],[Maturity Level (Numeric)]], 0)</f>
        <v>96</v>
      </c>
      <c r="AH4" s="4"/>
      <c r="AK4" s="4"/>
      <c r="AM4" s="5"/>
    </row>
    <row r="5" spans="1:45" ht="28.8" x14ac:dyDescent="0.3">
      <c r="A5" s="4" t="s">
        <v>84</v>
      </c>
      <c r="B5" s="4" t="s">
        <v>85</v>
      </c>
      <c r="C5" s="16" t="s">
        <v>79</v>
      </c>
      <c r="D5" s="10" t="s">
        <v>118</v>
      </c>
      <c r="E5" s="11">
        <f>IF(Table2[[#This Row],[Current Status]]="Planned",1,
IF(Table2[[#This Row],[Current Status]]="Partially Implemented",3,
IF(Table2[[#This Row],[Current Status]]="Implemented",5,"")))</f>
        <v>1</v>
      </c>
      <c r="F5" s="4" t="s">
        <v>64</v>
      </c>
      <c r="G5" s="4" t="s">
        <v>146</v>
      </c>
      <c r="H5" s="15">
        <v>46056</v>
      </c>
      <c r="I5" s="4" t="s">
        <v>147</v>
      </c>
      <c r="J5" s="4" t="s">
        <v>173</v>
      </c>
      <c r="K5" s="11" cm="1">
        <f t="array" ref="K5">SUMPRODUCT(
--ISNUMBER(
SEARCH(
"|" &amp; [1]!RiskRegister[Risk ID] &amp; "|",
Table2[[#This Row],[Linked Risk IDs (Normalized)]]
)
),
[1]!RiskRegister[Risk Score (Inherent)]
)</f>
        <v>20</v>
      </c>
      <c r="L5" s="4" t="s">
        <v>185</v>
      </c>
      <c r="M5" s="4" t="s">
        <v>148</v>
      </c>
      <c r="N5" s="4" t="s">
        <v>12</v>
      </c>
      <c r="O5" s="11">
        <f>IF(Table2[[#This Row],[Control Criticality (Text)]]="High",3,
IF(Table2[[#This Row],[Control Criticality (Text)]]="Medium",2,
IF(Table2[[#This Row],[Control Criticality (Text)]]="Low",1,"")))</f>
        <v>3</v>
      </c>
      <c r="P5" s="4" t="str" cm="1">
        <f t="array" ref="P5">_xlfn.IFS(
Table2[[#This Row],[Priority Score]]&gt;=100,"Critical",
Table2[[#This Row],[Priority Score]]&gt;=50,"High",
Table2[[#This Row],[Priority Score]]&gt;=20,"Medium",
TRUE,"Low"
)</f>
        <v>High</v>
      </c>
      <c r="Q5" s="13">
        <f>ROUND((Table2[[#This Row],[Calculated Risk Score]] * Table2[[#This Row],[Control Criticality (Numeric)]]) / Table2[[#This Row],[Maturity Level (Numeric)]], 0)</f>
        <v>60</v>
      </c>
      <c r="AH5" s="4"/>
      <c r="AK5" s="4"/>
      <c r="AM5" s="5"/>
    </row>
    <row r="6" spans="1:45" ht="28.8" x14ac:dyDescent="0.3">
      <c r="A6" s="4" t="s">
        <v>88</v>
      </c>
      <c r="B6" s="4" t="s">
        <v>89</v>
      </c>
      <c r="C6" s="16" t="s">
        <v>79</v>
      </c>
      <c r="D6" s="10" t="s">
        <v>118</v>
      </c>
      <c r="E6" s="11">
        <f>IF(Table2[[#This Row],[Current Status]]="Planned",1,
IF(Table2[[#This Row],[Current Status]]="Partially Implemented",3,
IF(Table2[[#This Row],[Current Status]]="Implemented",5,"")))</f>
        <v>1</v>
      </c>
      <c r="F6" s="4" t="s">
        <v>73</v>
      </c>
      <c r="G6" s="4" t="s">
        <v>110</v>
      </c>
      <c r="H6" s="15">
        <v>46081</v>
      </c>
      <c r="I6" s="4" t="s">
        <v>149</v>
      </c>
      <c r="J6" s="4" t="s">
        <v>174</v>
      </c>
      <c r="K6" s="11" cm="1">
        <f t="array" ref="K6">SUMPRODUCT(
--ISNUMBER(
SEARCH(
"|" &amp; [1]!RiskRegister[Risk ID] &amp; "|",
Table2[[#This Row],[Linked Risk IDs (Normalized)]]
)
),
[1]!RiskRegister[Risk Score (Inherent)]
)</f>
        <v>10</v>
      </c>
      <c r="L6" s="4" t="s">
        <v>186</v>
      </c>
      <c r="M6" s="4"/>
      <c r="N6" s="4" t="s">
        <v>12</v>
      </c>
      <c r="O6" s="11">
        <f>IF(Table2[[#This Row],[Control Criticality (Text)]]="High",3,
IF(Table2[[#This Row],[Control Criticality (Text)]]="Medium",2,
IF(Table2[[#This Row],[Control Criticality (Text)]]="Low",1,"")))</f>
        <v>3</v>
      </c>
      <c r="P6" s="4" t="str" cm="1">
        <f t="array" ref="P6">_xlfn.IFS(
Table2[[#This Row],[Priority Score]]&gt;=100,"Critical",
Table2[[#This Row],[Priority Score]]&gt;=50,"High",
Table2[[#This Row],[Priority Score]]&gt;=20,"Medium",
TRUE,"Low"
)</f>
        <v>Medium</v>
      </c>
      <c r="Q6" s="13">
        <f>ROUND((Table2[[#This Row],[Calculated Risk Score]] * Table2[[#This Row],[Control Criticality (Numeric)]]) / Table2[[#This Row],[Maturity Level (Numeric)]], 0)</f>
        <v>30</v>
      </c>
      <c r="AH6" s="4"/>
      <c r="AK6" s="4"/>
      <c r="AM6" s="5"/>
    </row>
    <row r="7" spans="1:45" ht="43.2" x14ac:dyDescent="0.3">
      <c r="A7" s="4" t="s">
        <v>90</v>
      </c>
      <c r="B7" s="4" t="s">
        <v>91</v>
      </c>
      <c r="C7" s="16" t="s">
        <v>79</v>
      </c>
      <c r="D7" s="10" t="s">
        <v>118</v>
      </c>
      <c r="E7" s="11">
        <f>IF(Table2[[#This Row],[Current Status]]="Planned",1,
IF(Table2[[#This Row],[Current Status]]="Partially Implemented",3,
IF(Table2[[#This Row],[Current Status]]="Implemented",5,"")))</f>
        <v>1</v>
      </c>
      <c r="F7" s="4" t="s">
        <v>74</v>
      </c>
      <c r="G7" s="4" t="s">
        <v>150</v>
      </c>
      <c r="H7" s="15">
        <v>46096</v>
      </c>
      <c r="I7" s="4" t="s">
        <v>151</v>
      </c>
      <c r="J7" s="4" t="s">
        <v>175</v>
      </c>
      <c r="K7" s="11" cm="1">
        <f t="array" ref="K7">SUMPRODUCT(
--ISNUMBER(
SEARCH(
"|" &amp; [1]!RiskRegister[Risk ID] &amp; "|",
Table2[[#This Row],[Linked Risk IDs (Normalized)]]
)
),
[1]!RiskRegister[Risk Score (Inherent)]
)</f>
        <v>20</v>
      </c>
      <c r="L7" s="4" t="s">
        <v>187</v>
      </c>
      <c r="M7" s="4"/>
      <c r="N7" s="4" t="s">
        <v>11</v>
      </c>
      <c r="O7" s="11">
        <f>IF(Table2[[#This Row],[Control Criticality (Text)]]="High",3,
IF(Table2[[#This Row],[Control Criticality (Text)]]="Medium",2,
IF(Table2[[#This Row],[Control Criticality (Text)]]="Low",1,"")))</f>
        <v>2</v>
      </c>
      <c r="P7" s="4" t="str" cm="1">
        <f t="array" ref="P7">_xlfn.IFS(
Table2[[#This Row],[Priority Score]]&gt;=100,"Critical",
Table2[[#This Row],[Priority Score]]&gt;=50,"High",
Table2[[#This Row],[Priority Score]]&gt;=20,"Medium",
TRUE,"Low"
)</f>
        <v>Medium</v>
      </c>
      <c r="Q7" s="13">
        <f>ROUND((Table2[[#This Row],[Calculated Risk Score]] * Table2[[#This Row],[Control Criticality (Numeric)]]) / Table2[[#This Row],[Maturity Level (Numeric)]], 0)</f>
        <v>40</v>
      </c>
      <c r="AH7" s="4"/>
      <c r="AK7" s="4"/>
      <c r="AM7" s="5"/>
    </row>
    <row r="8" spans="1:45" ht="28.8" x14ac:dyDescent="0.3">
      <c r="A8" s="4" t="s">
        <v>93</v>
      </c>
      <c r="B8" s="4" t="s">
        <v>94</v>
      </c>
      <c r="C8" s="16" t="s">
        <v>79</v>
      </c>
      <c r="D8" s="10" t="s">
        <v>118</v>
      </c>
      <c r="E8" s="11">
        <f>IF(Table2[[#This Row],[Current Status]]="Planned",1,
IF(Table2[[#This Row],[Current Status]]="Partially Implemented",3,
IF(Table2[[#This Row],[Current Status]]="Implemented",5,"")))</f>
        <v>1</v>
      </c>
      <c r="F8" s="4" t="s">
        <v>111</v>
      </c>
      <c r="G8" s="4" t="s">
        <v>152</v>
      </c>
      <c r="H8" s="15">
        <v>46078</v>
      </c>
      <c r="I8" s="4" t="s">
        <v>149</v>
      </c>
      <c r="J8" s="4" t="s">
        <v>174</v>
      </c>
      <c r="K8" s="11" cm="1">
        <f t="array" ref="K8">SUMPRODUCT(
--ISNUMBER(
SEARCH(
"|" &amp; [1]!RiskRegister[Risk ID] &amp; "|",
Table2[[#This Row],[Linked Risk IDs (Normalized)]]
)
),
[1]!RiskRegister[Risk Score (Inherent)]
)</f>
        <v>10</v>
      </c>
      <c r="L8" s="4" t="s">
        <v>188</v>
      </c>
      <c r="M8" s="4"/>
      <c r="N8" s="4" t="s">
        <v>12</v>
      </c>
      <c r="O8" s="11">
        <f>IF(Table2[[#This Row],[Control Criticality (Text)]]="High",3,
IF(Table2[[#This Row],[Control Criticality (Text)]]="Medium",2,
IF(Table2[[#This Row],[Control Criticality (Text)]]="Low",1,"")))</f>
        <v>3</v>
      </c>
      <c r="P8" s="4" t="str" cm="1">
        <f t="array" ref="P8">_xlfn.IFS(
Table2[[#This Row],[Priority Score]]&gt;=100,"Critical",
Table2[[#This Row],[Priority Score]]&gt;=50,"High",
Table2[[#This Row],[Priority Score]]&gt;=20,"Medium",
TRUE,"Low"
)</f>
        <v>Medium</v>
      </c>
      <c r="Q8" s="13">
        <f>ROUND((Table2[[#This Row],[Calculated Risk Score]] * Table2[[#This Row],[Control Criticality (Numeric)]]) / Table2[[#This Row],[Maturity Level (Numeric)]], 0)</f>
        <v>30</v>
      </c>
      <c r="AH8" s="4"/>
      <c r="AK8" s="4"/>
      <c r="AM8" s="5"/>
    </row>
    <row r="9" spans="1:45" ht="28.8" x14ac:dyDescent="0.3">
      <c r="A9" s="4" t="s">
        <v>86</v>
      </c>
      <c r="B9" s="4" t="s">
        <v>87</v>
      </c>
      <c r="C9" s="16" t="s">
        <v>92</v>
      </c>
      <c r="D9" s="10" t="s">
        <v>119</v>
      </c>
      <c r="E9" s="11">
        <f>IF(Table2[[#This Row],[Current Status]]="Planned",1,
IF(Table2[[#This Row],[Current Status]]="Partially Implemented",3,
IF(Table2[[#This Row],[Current Status]]="Implemented",5,"")))</f>
        <v>3</v>
      </c>
      <c r="F9" s="4" t="s">
        <v>33</v>
      </c>
      <c r="G9" s="4" t="s">
        <v>153</v>
      </c>
      <c r="H9" s="15">
        <v>46071</v>
      </c>
      <c r="I9" s="4" t="s">
        <v>154</v>
      </c>
      <c r="J9" s="4" t="s">
        <v>172</v>
      </c>
      <c r="K9" s="11" cm="1">
        <f t="array" ref="K9">SUMPRODUCT(
--ISNUMBER(
SEARCH(
"|" &amp; [1]!RiskRegister[Risk ID] &amp; "|",
Table2[[#This Row],[Linked Risk IDs (Normalized)]]
)
),
[1]!RiskRegister[Risk Score (Inherent)]
)</f>
        <v>45</v>
      </c>
      <c r="L9" s="4" t="s">
        <v>189</v>
      </c>
      <c r="M9" s="4" t="s">
        <v>97</v>
      </c>
      <c r="N9" s="4" t="s">
        <v>12</v>
      </c>
      <c r="O9" s="11">
        <f>IF(Table2[[#This Row],[Control Criticality (Text)]]="High",3,
IF(Table2[[#This Row],[Control Criticality (Text)]]="Medium",2,
IF(Table2[[#This Row],[Control Criticality (Text)]]="Low",1,"")))</f>
        <v>3</v>
      </c>
      <c r="P9" s="4" t="str" cm="1">
        <f t="array" ref="P9">_xlfn.IFS(
Table2[[#This Row],[Priority Score]]&gt;=100,"Critical",
Table2[[#This Row],[Priority Score]]&gt;=50,"High",
Table2[[#This Row],[Priority Score]]&gt;=20,"Medium",
TRUE,"Low"
)</f>
        <v>Medium</v>
      </c>
      <c r="Q9" s="13">
        <f>ROUND((Table2[[#This Row],[Calculated Risk Score]] * Table2[[#This Row],[Control Criticality (Numeric)]]) / Table2[[#This Row],[Maturity Level (Numeric)]], 0)</f>
        <v>45</v>
      </c>
      <c r="AH9" s="4"/>
      <c r="AK9" s="4"/>
      <c r="AM9" s="5"/>
    </row>
    <row r="10" spans="1:45" ht="28.8" x14ac:dyDescent="0.3">
      <c r="A10" s="4" t="s">
        <v>95</v>
      </c>
      <c r="B10" s="4" t="s">
        <v>96</v>
      </c>
      <c r="C10" s="16" t="s">
        <v>92</v>
      </c>
      <c r="D10" s="10" t="s">
        <v>119</v>
      </c>
      <c r="E10" s="11">
        <f>IF(Table2[[#This Row],[Current Status]]="Planned",1,
IF(Table2[[#This Row],[Current Status]]="Partially Implemented",3,
IF(Table2[[#This Row],[Current Status]]="Implemented",5,"")))</f>
        <v>3</v>
      </c>
      <c r="F10" s="4" t="s">
        <v>33</v>
      </c>
      <c r="G10" s="4" t="s">
        <v>155</v>
      </c>
      <c r="H10" s="15">
        <v>46076</v>
      </c>
      <c r="I10" s="4" t="s">
        <v>156</v>
      </c>
      <c r="J10" s="4" t="s">
        <v>176</v>
      </c>
      <c r="K10" s="11" cm="1">
        <f t="array" ref="K10">SUMPRODUCT(
--ISNUMBER(
SEARCH(
"|" &amp; [1]!RiskRegister[Risk ID] &amp; "|",
Table2[[#This Row],[Linked Risk IDs (Normalized)]]
)
),
[1]!RiskRegister[Risk Score (Inherent)]
)</f>
        <v>20</v>
      </c>
      <c r="L10" s="4" t="s">
        <v>190</v>
      </c>
      <c r="M10" s="4" t="s">
        <v>97</v>
      </c>
      <c r="N10" s="4" t="s">
        <v>12</v>
      </c>
      <c r="O10" s="11">
        <f>IF(Table2[[#This Row],[Control Criticality (Text)]]="High",3,
IF(Table2[[#This Row],[Control Criticality (Text)]]="Medium",2,
IF(Table2[[#This Row],[Control Criticality (Text)]]="Low",1,"")))</f>
        <v>3</v>
      </c>
      <c r="P10" s="4" t="str" cm="1">
        <f t="array" ref="P10">_xlfn.IFS(
Table2[[#This Row],[Priority Score]]&gt;=100,"Critical",
Table2[[#This Row],[Priority Score]]&gt;=50,"High",
Table2[[#This Row],[Priority Score]]&gt;=20,"Medium",
TRUE,"Low"
)</f>
        <v>Medium</v>
      </c>
      <c r="Q10" s="13">
        <f>ROUND((Table2[[#This Row],[Calculated Risk Score]] * Table2[[#This Row],[Control Criticality (Numeric)]]) / Table2[[#This Row],[Maturity Level (Numeric)]], 0)</f>
        <v>20</v>
      </c>
      <c r="AH10" s="4"/>
      <c r="AK10" s="4"/>
      <c r="AM10" s="5"/>
    </row>
    <row r="11" spans="1:45" ht="28.8" x14ac:dyDescent="0.3">
      <c r="A11" s="4" t="s">
        <v>97</v>
      </c>
      <c r="B11" s="4" t="s">
        <v>98</v>
      </c>
      <c r="C11" s="16" t="s">
        <v>92</v>
      </c>
      <c r="D11" s="10" t="s">
        <v>119</v>
      </c>
      <c r="E11" s="11">
        <f>IF(Table2[[#This Row],[Current Status]]="Planned",1,
IF(Table2[[#This Row],[Current Status]]="Partially Implemented",3,
IF(Table2[[#This Row],[Current Status]]="Implemented",5,"")))</f>
        <v>3</v>
      </c>
      <c r="F11" s="4" t="s">
        <v>33</v>
      </c>
      <c r="G11" s="4" t="s">
        <v>179</v>
      </c>
      <c r="H11" s="15">
        <v>46056</v>
      </c>
      <c r="I11" s="4" t="s">
        <v>156</v>
      </c>
      <c r="J11" s="4" t="s">
        <v>176</v>
      </c>
      <c r="K11" s="11" cm="1">
        <f t="array" ref="K11">SUMPRODUCT(
--ISNUMBER(
SEARCH(
"|" &amp; [1]!RiskRegister[Risk ID] &amp; "|",
Table2[[#This Row],[Linked Risk IDs (Normalized)]]
)
),
[1]!RiskRegister[Risk Score (Inherent)]
)</f>
        <v>20</v>
      </c>
      <c r="L11" s="4" t="s">
        <v>191</v>
      </c>
      <c r="M11" s="4"/>
      <c r="N11" s="4" t="s">
        <v>12</v>
      </c>
      <c r="O11" s="11">
        <f>IF(Table2[[#This Row],[Control Criticality (Text)]]="High",3,
IF(Table2[[#This Row],[Control Criticality (Text)]]="Medium",2,
IF(Table2[[#This Row],[Control Criticality (Text)]]="Low",1,"")))</f>
        <v>3</v>
      </c>
      <c r="P11" s="4" t="str" cm="1">
        <f t="array" ref="P11">_xlfn.IFS(
Table2[[#This Row],[Priority Score]]&gt;=100,"Critical",
Table2[[#This Row],[Priority Score]]&gt;=50,"High",
Table2[[#This Row],[Priority Score]]&gt;=20,"Medium",
TRUE,"Low"
)</f>
        <v>Medium</v>
      </c>
      <c r="Q11" s="13">
        <f>ROUND((Table2[[#This Row],[Calculated Risk Score]] * Table2[[#This Row],[Control Criticality (Numeric)]]) / Table2[[#This Row],[Maturity Level (Numeric)]], 0)</f>
        <v>20</v>
      </c>
      <c r="AH11" s="4"/>
      <c r="AK11" s="4"/>
      <c r="AM11" s="5"/>
    </row>
    <row r="12" spans="1:45" ht="28.8" x14ac:dyDescent="0.3">
      <c r="A12" s="4" t="s">
        <v>99</v>
      </c>
      <c r="B12" s="4" t="s">
        <v>100</v>
      </c>
      <c r="C12" s="16" t="s">
        <v>92</v>
      </c>
      <c r="D12" s="10" t="s">
        <v>119</v>
      </c>
      <c r="E12" s="11">
        <f>IF(Table2[[#This Row],[Current Status]]="Planned",1,
IF(Table2[[#This Row],[Current Status]]="Partially Implemented",3,
IF(Table2[[#This Row],[Current Status]]="Implemented",5,"")))</f>
        <v>3</v>
      </c>
      <c r="F12" s="4" t="s">
        <v>72</v>
      </c>
      <c r="G12" s="4" t="s">
        <v>157</v>
      </c>
      <c r="H12" s="15">
        <v>46058</v>
      </c>
      <c r="I12" s="4" t="s">
        <v>141</v>
      </c>
      <c r="J12" s="4" t="s">
        <v>169</v>
      </c>
      <c r="K12" s="11" cm="1">
        <f t="array" ref="K12">SUMPRODUCT(
--ISNUMBER(
SEARCH(
"|" &amp; [1]!RiskRegister[Risk ID] &amp; "|",
Table2[[#This Row],[Linked Risk IDs (Normalized)]]
)
),
[1]!RiskRegister[Risk Score (Inherent)]
)</f>
        <v>45</v>
      </c>
      <c r="L12" s="4" t="s">
        <v>192</v>
      </c>
      <c r="M12" s="4" t="s">
        <v>80</v>
      </c>
      <c r="N12" s="4" t="s">
        <v>12</v>
      </c>
      <c r="O12" s="11">
        <f>IF(Table2[[#This Row],[Control Criticality (Text)]]="High",3,
IF(Table2[[#This Row],[Control Criticality (Text)]]="Medium",2,
IF(Table2[[#This Row],[Control Criticality (Text)]]="Low",1,"")))</f>
        <v>3</v>
      </c>
      <c r="P12" s="4" t="str" cm="1">
        <f t="array" ref="P12">_xlfn.IFS(
Table2[[#This Row],[Priority Score]]&gt;=100,"Critical",
Table2[[#This Row],[Priority Score]]&gt;=50,"High",
Table2[[#This Row],[Priority Score]]&gt;=20,"Medium",
TRUE,"Low"
)</f>
        <v>Medium</v>
      </c>
      <c r="Q12" s="13">
        <f>ROUND((Table2[[#This Row],[Calculated Risk Score]] * Table2[[#This Row],[Control Criticality (Numeric)]]) / Table2[[#This Row],[Maturity Level (Numeric)]], 0)</f>
        <v>45</v>
      </c>
      <c r="AH12" s="4"/>
      <c r="AK12" s="4"/>
      <c r="AM12" s="5"/>
    </row>
    <row r="13" spans="1:45" ht="28.8" x14ac:dyDescent="0.3">
      <c r="A13" s="4" t="s">
        <v>101</v>
      </c>
      <c r="B13" s="4" t="s">
        <v>102</v>
      </c>
      <c r="C13" s="16" t="s">
        <v>92</v>
      </c>
      <c r="D13" s="10" t="s">
        <v>119</v>
      </c>
      <c r="E13" s="11">
        <f>IF(Table2[[#This Row],[Current Status]]="Planned",1,
IF(Table2[[#This Row],[Current Status]]="Partially Implemented",3,
IF(Table2[[#This Row],[Current Status]]="Implemented",5,"")))</f>
        <v>3</v>
      </c>
      <c r="F13" s="4" t="s">
        <v>166</v>
      </c>
      <c r="G13" s="4" t="s">
        <v>159</v>
      </c>
      <c r="H13" s="15">
        <v>46061</v>
      </c>
      <c r="I13" s="4" t="s">
        <v>145</v>
      </c>
      <c r="J13" s="4" t="s">
        <v>171</v>
      </c>
      <c r="K13" s="11" cm="1">
        <f t="array" ref="K13">SUMPRODUCT(
--ISNUMBER(
SEARCH(
"|" &amp; [1]!RiskRegister[Risk ID] &amp; "|",
Table2[[#This Row],[Linked Risk IDs (Normalized)]]
)
),
[1]!RiskRegister[Risk Score (Inherent)]
)</f>
        <v>32</v>
      </c>
      <c r="L13" s="4" t="s">
        <v>193</v>
      </c>
      <c r="M13" s="4" t="s">
        <v>77</v>
      </c>
      <c r="N13" s="4" t="s">
        <v>12</v>
      </c>
      <c r="O13" s="11">
        <f>IF(Table2[[#This Row],[Control Criticality (Text)]]="High",3,
IF(Table2[[#This Row],[Control Criticality (Text)]]="Medium",2,
IF(Table2[[#This Row],[Control Criticality (Text)]]="Low",1,"")))</f>
        <v>3</v>
      </c>
      <c r="P13" s="4" t="str" cm="1">
        <f t="array" ref="P13">_xlfn.IFS(
Table2[[#This Row],[Priority Score]]&gt;=100,"Critical",
Table2[[#This Row],[Priority Score]]&gt;=50,"High",
Table2[[#This Row],[Priority Score]]&gt;=20,"Medium",
TRUE,"Low"
)</f>
        <v>Medium</v>
      </c>
      <c r="Q13" s="13">
        <f>ROUND((Table2[[#This Row],[Calculated Risk Score]] * Table2[[#This Row],[Control Criticality (Numeric)]]) / Table2[[#This Row],[Maturity Level (Numeric)]], 0)</f>
        <v>32</v>
      </c>
      <c r="AH13" s="4"/>
      <c r="AK13" s="4"/>
      <c r="AM13" s="5"/>
    </row>
    <row r="14" spans="1:45" ht="28.8" x14ac:dyDescent="0.3">
      <c r="A14" s="4" t="s">
        <v>106</v>
      </c>
      <c r="B14" s="4" t="s">
        <v>108</v>
      </c>
      <c r="C14" s="16" t="s">
        <v>79</v>
      </c>
      <c r="D14" s="10" t="s">
        <v>118</v>
      </c>
      <c r="E14" s="11">
        <f>IF(Table2[[#This Row],[Current Status]]="Planned",1,
IF(Table2[[#This Row],[Current Status]]="Partially Implemented",3,
IF(Table2[[#This Row],[Current Status]]="Implemented",5,"")))</f>
        <v>1</v>
      </c>
      <c r="F14" s="4" t="s">
        <v>165</v>
      </c>
      <c r="G14" s="4" t="s">
        <v>160</v>
      </c>
      <c r="H14" s="15">
        <v>46081</v>
      </c>
      <c r="I14" s="4" t="s">
        <v>147</v>
      </c>
      <c r="J14" s="4" t="s">
        <v>173</v>
      </c>
      <c r="K14" s="11" cm="1">
        <f t="array" ref="K14">SUMPRODUCT(
--ISNUMBER(
SEARCH(
"|" &amp; [1]!RiskRegister[Risk ID] &amp; "|",
Table2[[#This Row],[Linked Risk IDs (Normalized)]]
)
),
[1]!RiskRegister[Risk Score (Inherent)]
)</f>
        <v>20</v>
      </c>
      <c r="L14" s="4" t="s">
        <v>194</v>
      </c>
      <c r="M14" s="4" t="s">
        <v>84</v>
      </c>
      <c r="N14" s="4" t="s">
        <v>12</v>
      </c>
      <c r="O14" s="11">
        <f>IF(Table2[[#This Row],[Control Criticality (Text)]]="High",3,
IF(Table2[[#This Row],[Control Criticality (Text)]]="Medium",2,
IF(Table2[[#This Row],[Control Criticality (Text)]]="Low",1,"")))</f>
        <v>3</v>
      </c>
      <c r="P14" s="4" t="str" cm="1">
        <f t="array" ref="P14">_xlfn.IFS(
Table2[[#This Row],[Priority Score]]&gt;=100,"Critical",
Table2[[#This Row],[Priority Score]]&gt;=50,"High",
Table2[[#This Row],[Priority Score]]&gt;=20,"Medium",
TRUE,"Low"
)</f>
        <v>High</v>
      </c>
      <c r="Q14" s="13">
        <f>ROUND((Table2[[#This Row],[Calculated Risk Score]] * Table2[[#This Row],[Control Criticality (Numeric)]]) / Table2[[#This Row],[Maturity Level (Numeric)]], 0)</f>
        <v>60</v>
      </c>
      <c r="AH14" s="4"/>
      <c r="AK14" s="4"/>
      <c r="AM14" s="5"/>
    </row>
    <row r="15" spans="1:45" ht="28.8" x14ac:dyDescent="0.3">
      <c r="A15" s="4" t="s">
        <v>107</v>
      </c>
      <c r="B15" s="4" t="s">
        <v>109</v>
      </c>
      <c r="C15" s="16" t="s">
        <v>92</v>
      </c>
      <c r="D15" s="10" t="s">
        <v>119</v>
      </c>
      <c r="E15" s="11">
        <f>IF(Table2[[#This Row],[Current Status]]="Planned",1,
IF(Table2[[#This Row],[Current Status]]="Partially Implemented",3,
IF(Table2[[#This Row],[Current Status]]="Implemented",5,"")))</f>
        <v>3</v>
      </c>
      <c r="F15" s="4" t="s">
        <v>33</v>
      </c>
      <c r="G15" s="4" t="s">
        <v>161</v>
      </c>
      <c r="H15" s="15">
        <v>46099</v>
      </c>
      <c r="I15" s="4" t="s">
        <v>147</v>
      </c>
      <c r="J15" s="4" t="s">
        <v>173</v>
      </c>
      <c r="K15" s="11" cm="1">
        <f t="array" ref="K15">SUMPRODUCT(
--ISNUMBER(
SEARCH(
"|" &amp; [1]!RiskRegister[Risk ID] &amp; "|",
Table2[[#This Row],[Linked Risk IDs (Normalized)]]
)
),
[1]!RiskRegister[Risk Score (Inherent)]
)</f>
        <v>20</v>
      </c>
      <c r="L15" s="4" t="s">
        <v>195</v>
      </c>
      <c r="M15" s="4" t="s">
        <v>84</v>
      </c>
      <c r="N15" s="4" t="s">
        <v>11</v>
      </c>
      <c r="O15" s="11">
        <f>IF(Table2[[#This Row],[Control Criticality (Text)]]="High",3,
IF(Table2[[#This Row],[Control Criticality (Text)]]="Medium",2,
IF(Table2[[#This Row],[Control Criticality (Text)]]="Low",1,"")))</f>
        <v>2</v>
      </c>
      <c r="P15" s="4" t="str" cm="1">
        <f t="array" ref="P15">_xlfn.IFS(
Table2[[#This Row],[Priority Score]]&gt;=100,"Critical",
Table2[[#This Row],[Priority Score]]&gt;=50,"High",
Table2[[#This Row],[Priority Score]]&gt;=20,"Medium",
TRUE,"Low"
)</f>
        <v>Low</v>
      </c>
      <c r="Q15" s="13">
        <f>ROUND((Table2[[#This Row],[Calculated Risk Score]] * Table2[[#This Row],[Control Criticality (Numeric)]]) / Table2[[#This Row],[Maturity Level (Numeric)]], 0)</f>
        <v>13</v>
      </c>
      <c r="AH15" s="4"/>
      <c r="AK15" s="4"/>
      <c r="AM15" s="5"/>
    </row>
    <row r="16" spans="1:45" ht="28.8" x14ac:dyDescent="0.3">
      <c r="A16" s="4" t="s">
        <v>103</v>
      </c>
      <c r="B16" s="4" t="s">
        <v>104</v>
      </c>
      <c r="C16" s="16" t="s">
        <v>92</v>
      </c>
      <c r="D16" s="10" t="s">
        <v>119</v>
      </c>
      <c r="E16" s="11">
        <f>IF(Table2[[#This Row],[Current Status]]="Planned",1,
IF(Table2[[#This Row],[Current Status]]="Partially Implemented",3,
IF(Table2[[#This Row],[Current Status]]="Implemented",5,"")))</f>
        <v>3</v>
      </c>
      <c r="F16" s="4" t="s">
        <v>158</v>
      </c>
      <c r="G16" s="4" t="s">
        <v>162</v>
      </c>
      <c r="H16" s="15">
        <v>46111</v>
      </c>
      <c r="I16" s="4" t="s">
        <v>163</v>
      </c>
      <c r="J16" s="4" t="s">
        <v>177</v>
      </c>
      <c r="K16" s="11" cm="1">
        <f t="array" ref="K16">SUMPRODUCT(
--ISNUMBER(
SEARCH(
"|" &amp; [1]!RiskRegister[Risk ID] &amp; "|",
Table2[[#This Row],[Linked Risk IDs (Normalized)]]
)
),
[1]!RiskRegister[Risk Score (Inherent)]
)</f>
        <v>10</v>
      </c>
      <c r="L16" s="4" t="s">
        <v>196</v>
      </c>
      <c r="M16" s="4"/>
      <c r="N16" s="4" t="s">
        <v>11</v>
      </c>
      <c r="O16" s="11">
        <f>IF(Table2[[#This Row],[Control Criticality (Text)]]="High",3,
IF(Table2[[#This Row],[Control Criticality (Text)]]="Medium",2,
IF(Table2[[#This Row],[Control Criticality (Text)]]="Low",1,"")))</f>
        <v>2</v>
      </c>
      <c r="P16" s="4" t="str" cm="1">
        <f t="array" ref="P16">_xlfn.IFS(
Table2[[#This Row],[Priority Score]]&gt;=100,"Critical",
Table2[[#This Row],[Priority Score]]&gt;=50,"High",
Table2[[#This Row],[Priority Score]]&gt;=20,"Medium",
TRUE,"Low"
)</f>
        <v>Low</v>
      </c>
      <c r="Q16" s="13">
        <f>ROUND((Table2[[#This Row],[Calculated Risk Score]] * Table2[[#This Row],[Control Criticality (Numeric)]]) / Table2[[#This Row],[Maturity Level (Numeric)]], 0)</f>
        <v>7</v>
      </c>
      <c r="AH16" s="4"/>
      <c r="AK16" s="4"/>
      <c r="AM16" s="5"/>
    </row>
    <row r="22" spans="12:12" x14ac:dyDescent="0.3">
      <c r="L22" s="7"/>
    </row>
  </sheetData>
  <sheetProtection algorithmName="SHA-512" hashValue="O49S2vhdlRwCHh4QK18fgrw+UhwHOTh8a0jyOabyRp0duQtHENp9Os3bckTM87owF/l//YNo2JsQ5FSQRQRxyA==" saltValue="rrNziMOR07YzX4AnVbKj5Q==" spinCount="100000" sheet="1" objects="1" scenarios="1" selectLockedCells="1" selectUnlockedCells="1"/>
  <conditionalFormatting sqref="C1:E27 C44:E1048576 AI1:AI16">
    <cfRule type="cellIs" dxfId="24" priority="29" operator="equal">
      <formula>"Implemented"</formula>
    </cfRule>
    <cfRule type="cellIs" dxfId="1" priority="30" operator="equal">
      <formula>"Partially Implemented"</formula>
    </cfRule>
    <cfRule type="cellIs" dxfId="23" priority="31" operator="equal">
      <formula>"Planned"</formula>
    </cfRule>
  </conditionalFormatting>
  <conditionalFormatting sqref="D1:D1048576">
    <cfRule type="cellIs" dxfId="22" priority="13" operator="equal">
      <formula>"Managed"</formula>
    </cfRule>
    <cfRule type="cellIs" dxfId="21" priority="14" operator="equal">
      <formula>"Emerging"</formula>
    </cfRule>
    <cfRule type="cellIs" dxfId="20" priority="25" operator="equal">
      <formula>"Optimized"</formula>
    </cfRule>
    <cfRule type="cellIs" dxfId="19" priority="26" operator="equal">
      <formula>"Developing"</formula>
    </cfRule>
    <cfRule type="cellIs" dxfId="18" priority="27" operator="equal">
      <formula>"Initial"</formula>
    </cfRule>
  </conditionalFormatting>
  <conditionalFormatting sqref="E1:E1048576">
    <cfRule type="cellIs" dxfId="17" priority="20" operator="equal">
      <formula>1</formula>
    </cfRule>
    <cfRule type="cellIs" dxfId="16" priority="21" operator="equal">
      <formula>2</formula>
    </cfRule>
    <cfRule type="cellIs" dxfId="15" priority="22" operator="equal">
      <formula>3</formula>
    </cfRule>
    <cfRule type="cellIs" dxfId="14" priority="23" operator="equal">
      <formula>4</formula>
    </cfRule>
    <cfRule type="cellIs" dxfId="13" priority="24" operator="equal">
      <formula>5</formula>
    </cfRule>
  </conditionalFormatting>
  <conditionalFormatting sqref="N1:N1048576">
    <cfRule type="cellIs" dxfId="12" priority="17" operator="equal">
      <formula>"Low"</formula>
    </cfRule>
    <cfRule type="cellIs" dxfId="11" priority="18" operator="equal">
      <formula>"Medium"</formula>
    </cfRule>
    <cfRule type="cellIs" dxfId="10" priority="19" operator="equal">
      <formula>"High"</formula>
    </cfRule>
  </conditionalFormatting>
  <conditionalFormatting sqref="Q2:Q16">
    <cfRule type="cellIs" dxfId="9" priority="5" operator="greaterThanOrEqual">
      <formula>100</formula>
    </cfRule>
    <cfRule type="cellIs" dxfId="8" priority="6" operator="between">
      <formula>50</formula>
      <formula>99</formula>
    </cfRule>
    <cfRule type="cellIs" dxfId="7" priority="7" operator="between">
      <formula>20</formula>
      <formula>49</formula>
    </cfRule>
    <cfRule type="cellIs" dxfId="6" priority="8" operator="lessThan">
      <formula>20</formula>
    </cfRule>
  </conditionalFormatting>
  <conditionalFormatting sqref="P1:P1048576">
    <cfRule type="cellIs" dxfId="5" priority="1" operator="equal">
      <formula>"Low"</formula>
    </cfRule>
    <cfRule type="cellIs" dxfId="4" priority="2" operator="equal">
      <formula>"Critical"</formula>
    </cfRule>
    <cfRule type="cellIs" dxfId="3" priority="3" operator="equal">
      <formula>"High"</formula>
    </cfRule>
    <cfRule type="cellIs" dxfId="2" priority="4" operator="equal">
      <formula>"Medium"</formula>
    </cfRule>
  </conditionalFormatting>
  <dataValidations disablePrompts="1" count="2">
    <dataValidation type="list" allowBlank="1" showInputMessage="1" showErrorMessage="1" sqref="C2:C27 AI1:AI16 C44:C1048576" xr:uid="{E4AD1D26-6816-40AC-8E3A-2C64592399B1}">
      <formula1>"Planned,Partially Implemented,Implemented"</formula1>
    </dataValidation>
    <dataValidation type="list" allowBlank="1" showInputMessage="1" showErrorMessage="1" sqref="N2:N1048576" xr:uid="{671C635B-09AB-46B5-BB7E-F4AFD75F2702}">
      <formula1>"High,Medium,Low"</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55098-1A87-4A9F-AFD2-3CB88B624A87}">
  <dimension ref="A1:O28"/>
  <sheetViews>
    <sheetView topLeftCell="A10" zoomScale="73" zoomScaleNormal="82" workbookViewId="0">
      <selection activeCell="H37" sqref="H37"/>
    </sheetView>
  </sheetViews>
  <sheetFormatPr defaultColWidth="34.21875" defaultRowHeight="14.4" x14ac:dyDescent="0.3"/>
  <cols>
    <col min="1" max="1" width="13.109375" style="1" bestFit="1" customWidth="1"/>
    <col min="2" max="2" width="29.77734375" style="4" customWidth="1"/>
    <col min="3" max="3" width="11.77734375" style="1" bestFit="1" customWidth="1"/>
    <col min="4" max="4" width="21.33203125" style="1" customWidth="1"/>
    <col min="5" max="5" width="15.44140625" style="4" customWidth="1"/>
    <col min="6" max="6" width="13.44140625" style="1" bestFit="1" customWidth="1"/>
    <col min="7" max="7" width="17.44140625" style="1" bestFit="1" customWidth="1"/>
    <col min="8" max="8" width="14.33203125" style="1" bestFit="1" customWidth="1"/>
    <col min="9" max="9" width="16.44140625" style="14" customWidth="1"/>
    <col min="10" max="10" width="14.33203125" style="1" customWidth="1"/>
    <col min="11" max="11" width="16.33203125" style="1" customWidth="1"/>
    <col min="12" max="12" width="18" style="1" bestFit="1" customWidth="1"/>
    <col min="13" max="13" width="11.77734375" style="1" customWidth="1"/>
    <col min="14" max="14" width="16.5546875" style="1" bestFit="1" customWidth="1"/>
    <col min="15" max="15" width="53.21875" style="1" bestFit="1" customWidth="1"/>
    <col min="16" max="16384" width="34.21875" style="1"/>
  </cols>
  <sheetData>
    <row r="1" spans="1:15" s="8" customFormat="1" ht="28.8" x14ac:dyDescent="0.3">
      <c r="A1" s="8" t="s">
        <v>34</v>
      </c>
      <c r="B1" s="8" t="s">
        <v>4</v>
      </c>
      <c r="C1" s="8" t="s">
        <v>5</v>
      </c>
      <c r="D1" s="8" t="s">
        <v>113</v>
      </c>
      <c r="E1" s="8" t="s">
        <v>41</v>
      </c>
      <c r="F1" s="8" t="s">
        <v>6</v>
      </c>
      <c r="G1" s="8" t="s">
        <v>40</v>
      </c>
      <c r="H1" s="8" t="s">
        <v>7</v>
      </c>
      <c r="I1" s="8" t="s">
        <v>199</v>
      </c>
      <c r="J1" s="8" t="s">
        <v>200</v>
      </c>
      <c r="K1" s="8" t="s">
        <v>132</v>
      </c>
      <c r="L1" s="8" t="s">
        <v>120</v>
      </c>
      <c r="M1" s="8" t="s">
        <v>125</v>
      </c>
      <c r="N1" s="8" t="s">
        <v>121</v>
      </c>
      <c r="O1" s="8" t="s">
        <v>126</v>
      </c>
    </row>
    <row r="2" spans="1:15" x14ac:dyDescent="0.3">
      <c r="A2" s="4" t="s">
        <v>48</v>
      </c>
      <c r="B2" s="4" t="s">
        <v>56</v>
      </c>
      <c r="C2" s="4" t="s">
        <v>8</v>
      </c>
      <c r="D2" s="4" t="s">
        <v>33</v>
      </c>
      <c r="E2" s="4" t="s">
        <v>9</v>
      </c>
      <c r="F2" s="4" t="s">
        <v>10</v>
      </c>
      <c r="G2" s="4" t="s">
        <v>44</v>
      </c>
      <c r="H2" s="4" t="s">
        <v>11</v>
      </c>
      <c r="I2" s="11" cm="1">
        <f t="array" ref="I2">_xlfn.SWITCH(
AssetRegister[[#This Row],[Criticality]],
"Low",1,
"Medium",2,
"High",3,
"Critical",4
)</f>
        <v>2</v>
      </c>
      <c r="J2" s="4"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2" s="4" t="s">
        <v>97</v>
      </c>
      <c r="L2" s="4" t="s">
        <v>197</v>
      </c>
      <c r="M2" s="4" t="s">
        <v>123</v>
      </c>
      <c r="N2" s="4" t="s">
        <v>122</v>
      </c>
      <c r="O2" s="4" t="s">
        <v>198</v>
      </c>
    </row>
    <row r="3" spans="1:15" x14ac:dyDescent="0.3">
      <c r="A3" s="4" t="s">
        <v>49</v>
      </c>
      <c r="B3" s="4" t="s">
        <v>57</v>
      </c>
      <c r="C3" s="4" t="s">
        <v>8</v>
      </c>
      <c r="D3" s="4" t="s">
        <v>33</v>
      </c>
      <c r="E3" s="4" t="s">
        <v>9</v>
      </c>
      <c r="F3" s="4" t="s">
        <v>10</v>
      </c>
      <c r="G3" s="4" t="s">
        <v>44</v>
      </c>
      <c r="H3" s="4" t="s">
        <v>11</v>
      </c>
      <c r="I3" s="11" cm="1">
        <f t="array" ref="I3">_xlfn.SWITCH(
AssetRegister[[#This Row],[Criticality]],
"Low",1,
"Medium",2,
"High",3,
"Critical",4
)</f>
        <v>2</v>
      </c>
      <c r="J3" s="4"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3" s="4" t="s">
        <v>97</v>
      </c>
      <c r="L3" s="4" t="s">
        <v>197</v>
      </c>
      <c r="M3" s="4" t="s">
        <v>123</v>
      </c>
      <c r="N3" s="4" t="s">
        <v>122</v>
      </c>
      <c r="O3" s="4" t="s">
        <v>198</v>
      </c>
    </row>
    <row r="4" spans="1:15" x14ac:dyDescent="0.3">
      <c r="A4" s="4" t="s">
        <v>50</v>
      </c>
      <c r="B4" s="4" t="s">
        <v>58</v>
      </c>
      <c r="C4" s="4" t="s">
        <v>8</v>
      </c>
      <c r="D4" s="4" t="s">
        <v>33</v>
      </c>
      <c r="E4" s="4" t="s">
        <v>9</v>
      </c>
      <c r="F4" s="4" t="s">
        <v>10</v>
      </c>
      <c r="G4" s="4" t="s">
        <v>44</v>
      </c>
      <c r="H4" s="4" t="s">
        <v>11</v>
      </c>
      <c r="I4" s="11" cm="1">
        <f t="array" ref="I4">_xlfn.SWITCH(
AssetRegister[[#This Row],[Criticality]],
"Low",1,
"Medium",2,
"High",3,
"Critical",4
)</f>
        <v>2</v>
      </c>
      <c r="J4" s="4"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4" s="4" t="s">
        <v>97</v>
      </c>
      <c r="L4" s="4" t="s">
        <v>197</v>
      </c>
      <c r="M4" s="4" t="s">
        <v>123</v>
      </c>
      <c r="N4" s="4" t="s">
        <v>122</v>
      </c>
      <c r="O4" s="4" t="s">
        <v>198</v>
      </c>
    </row>
    <row r="5" spans="1:15" x14ac:dyDescent="0.3">
      <c r="A5" s="4" t="s">
        <v>51</v>
      </c>
      <c r="B5" s="4" t="s">
        <v>59</v>
      </c>
      <c r="C5" s="4" t="s">
        <v>8</v>
      </c>
      <c r="D5" s="4" t="s">
        <v>33</v>
      </c>
      <c r="E5" s="4" t="s">
        <v>9</v>
      </c>
      <c r="F5" s="4" t="s">
        <v>10</v>
      </c>
      <c r="G5" s="4" t="s">
        <v>44</v>
      </c>
      <c r="H5" s="4" t="s">
        <v>11</v>
      </c>
      <c r="I5" s="11" cm="1">
        <f t="array" ref="I5">_xlfn.SWITCH(
AssetRegister[[#This Row],[Criticality]],
"Low",1,
"Medium",2,
"High",3,
"Critical",4
)</f>
        <v>2</v>
      </c>
      <c r="J5" s="4"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5" s="4" t="s">
        <v>97</v>
      </c>
      <c r="L5" s="4" t="s">
        <v>197</v>
      </c>
      <c r="M5" s="4" t="s">
        <v>123</v>
      </c>
      <c r="N5" s="4" t="s">
        <v>122</v>
      </c>
      <c r="O5" s="4" t="s">
        <v>198</v>
      </c>
    </row>
    <row r="6" spans="1:15" x14ac:dyDescent="0.3">
      <c r="A6" s="4" t="s">
        <v>52</v>
      </c>
      <c r="B6" s="4" t="s">
        <v>60</v>
      </c>
      <c r="C6" s="4" t="s">
        <v>8</v>
      </c>
      <c r="D6" s="4" t="s">
        <v>33</v>
      </c>
      <c r="E6" s="4" t="s">
        <v>9</v>
      </c>
      <c r="F6" s="4" t="s">
        <v>10</v>
      </c>
      <c r="G6" s="4" t="s">
        <v>44</v>
      </c>
      <c r="H6" s="4" t="s">
        <v>11</v>
      </c>
      <c r="I6" s="11" cm="1">
        <f t="array" ref="I6">_xlfn.SWITCH(
AssetRegister[[#This Row],[Criticality]],
"Low",1,
"Medium",2,
"High",3,
"Critical",4
)</f>
        <v>2</v>
      </c>
      <c r="J6" s="4"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6" s="4" t="s">
        <v>97</v>
      </c>
      <c r="L6" s="4" t="s">
        <v>197</v>
      </c>
      <c r="M6" s="4" t="s">
        <v>123</v>
      </c>
      <c r="N6" s="4" t="s">
        <v>122</v>
      </c>
      <c r="O6" s="4" t="s">
        <v>198</v>
      </c>
    </row>
    <row r="7" spans="1:15" x14ac:dyDescent="0.3">
      <c r="A7" s="4" t="s">
        <v>53</v>
      </c>
      <c r="B7" s="4" t="s">
        <v>61</v>
      </c>
      <c r="C7" s="4" t="s">
        <v>8</v>
      </c>
      <c r="D7" s="4" t="s">
        <v>33</v>
      </c>
      <c r="E7" s="4" t="s">
        <v>9</v>
      </c>
      <c r="F7" s="4" t="s">
        <v>10</v>
      </c>
      <c r="G7" s="4" t="s">
        <v>44</v>
      </c>
      <c r="H7" s="4" t="s">
        <v>11</v>
      </c>
      <c r="I7" s="11" cm="1">
        <f t="array" ref="I7">_xlfn.SWITCH(
AssetRegister[[#This Row],[Criticality]],
"Low",1,
"Medium",2,
"High",3,
"Critical",4
)</f>
        <v>2</v>
      </c>
      <c r="J7" s="4"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7" s="4" t="s">
        <v>97</v>
      </c>
      <c r="L7" s="4" t="s">
        <v>197</v>
      </c>
      <c r="M7" s="4" t="s">
        <v>123</v>
      </c>
      <c r="N7" s="4" t="s">
        <v>122</v>
      </c>
      <c r="O7" s="4" t="s">
        <v>198</v>
      </c>
    </row>
    <row r="8" spans="1:15" x14ac:dyDescent="0.3">
      <c r="A8" s="4" t="s">
        <v>54</v>
      </c>
      <c r="B8" s="4" t="s">
        <v>62</v>
      </c>
      <c r="C8" s="4" t="s">
        <v>8</v>
      </c>
      <c r="D8" s="4" t="s">
        <v>33</v>
      </c>
      <c r="E8" s="4" t="s">
        <v>9</v>
      </c>
      <c r="F8" s="4" t="s">
        <v>10</v>
      </c>
      <c r="G8" s="4" t="s">
        <v>44</v>
      </c>
      <c r="H8" s="4" t="s">
        <v>11</v>
      </c>
      <c r="I8" s="11" cm="1">
        <f t="array" ref="I8">_xlfn.SWITCH(
AssetRegister[[#This Row],[Criticality]],
"Low",1,
"Medium",2,
"High",3,
"Critical",4
)</f>
        <v>2</v>
      </c>
      <c r="J8" s="4"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8" s="4" t="s">
        <v>97</v>
      </c>
      <c r="L8" s="4" t="s">
        <v>197</v>
      </c>
      <c r="M8" s="4" t="s">
        <v>123</v>
      </c>
      <c r="N8" s="4" t="s">
        <v>122</v>
      </c>
      <c r="O8" s="4" t="s">
        <v>198</v>
      </c>
    </row>
    <row r="9" spans="1:15" x14ac:dyDescent="0.3">
      <c r="A9" s="4" t="s">
        <v>55</v>
      </c>
      <c r="B9" s="4" t="s">
        <v>63</v>
      </c>
      <c r="C9" s="4" t="s">
        <v>8</v>
      </c>
      <c r="D9" s="4" t="s">
        <v>33</v>
      </c>
      <c r="E9" s="4" t="s">
        <v>9</v>
      </c>
      <c r="F9" s="4" t="s">
        <v>10</v>
      </c>
      <c r="G9" s="4" t="s">
        <v>44</v>
      </c>
      <c r="H9" s="4" t="s">
        <v>11</v>
      </c>
      <c r="I9" s="11" cm="1">
        <f t="array" ref="I9">_xlfn.SWITCH(
AssetRegister[[#This Row],[Criticality]],
"Low",1,
"Medium",2,
"High",3,
"Critical",4
)</f>
        <v>2</v>
      </c>
      <c r="J9" s="4"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9" s="4" t="s">
        <v>97</v>
      </c>
      <c r="L9" s="4" t="s">
        <v>197</v>
      </c>
      <c r="M9" s="4" t="s">
        <v>123</v>
      </c>
      <c r="N9" s="4" t="s">
        <v>122</v>
      </c>
      <c r="O9" s="4" t="s">
        <v>198</v>
      </c>
    </row>
    <row r="10" spans="1:15" x14ac:dyDescent="0.3">
      <c r="A10" s="4" t="s">
        <v>133</v>
      </c>
      <c r="B10" s="4" t="s">
        <v>135</v>
      </c>
      <c r="C10" s="4" t="s">
        <v>8</v>
      </c>
      <c r="D10" s="4" t="s">
        <v>33</v>
      </c>
      <c r="E10" s="4" t="s">
        <v>9</v>
      </c>
      <c r="F10" s="4" t="s">
        <v>10</v>
      </c>
      <c r="G10" s="4" t="s">
        <v>44</v>
      </c>
      <c r="H10" s="4" t="s">
        <v>11</v>
      </c>
      <c r="I10" s="11" cm="1">
        <f t="array" ref="I10">_xlfn.SWITCH(
AssetRegister[[#This Row],[Criticality]],
"Low",1,
"Medium",2,
"High",3,
"Critical",4
)</f>
        <v>2</v>
      </c>
      <c r="J10" s="4"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10" s="4" t="s">
        <v>97</v>
      </c>
      <c r="L10" s="4" t="s">
        <v>197</v>
      </c>
      <c r="M10" s="4" t="s">
        <v>123</v>
      </c>
      <c r="N10" s="4" t="s">
        <v>122</v>
      </c>
      <c r="O10" s="4" t="s">
        <v>198</v>
      </c>
    </row>
    <row r="11" spans="1:15" x14ac:dyDescent="0.3">
      <c r="A11" s="4" t="s">
        <v>134</v>
      </c>
      <c r="B11" s="4" t="s">
        <v>136</v>
      </c>
      <c r="C11" s="4" t="s">
        <v>8</v>
      </c>
      <c r="D11" s="4" t="s">
        <v>33</v>
      </c>
      <c r="E11" s="4" t="s">
        <v>9</v>
      </c>
      <c r="F11" s="4" t="s">
        <v>10</v>
      </c>
      <c r="G11" s="4" t="s">
        <v>44</v>
      </c>
      <c r="H11" s="4" t="s">
        <v>11</v>
      </c>
      <c r="I11" s="11" cm="1">
        <f t="array" ref="I11">_xlfn.SWITCH(
AssetRegister[[#This Row],[Criticality]],
"Low",1,
"Medium",2,
"High",3,
"Critical",4
)</f>
        <v>2</v>
      </c>
      <c r="J11" s="4"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11" s="4" t="s">
        <v>97</v>
      </c>
      <c r="L11" s="4" t="s">
        <v>197</v>
      </c>
      <c r="M11" s="4" t="s">
        <v>123</v>
      </c>
      <c r="N11" s="4" t="s">
        <v>122</v>
      </c>
      <c r="O11" s="4" t="s">
        <v>198</v>
      </c>
    </row>
    <row r="12" spans="1:15" ht="28.8" x14ac:dyDescent="0.3">
      <c r="A12" s="4" t="s">
        <v>45</v>
      </c>
      <c r="B12" s="4" t="s">
        <v>46</v>
      </c>
      <c r="C12" s="4" t="s">
        <v>8</v>
      </c>
      <c r="D12" s="4" t="s">
        <v>33</v>
      </c>
      <c r="E12" s="4" t="s">
        <v>30</v>
      </c>
      <c r="F12" s="4" t="s">
        <v>47</v>
      </c>
      <c r="G12" s="4" t="s">
        <v>43</v>
      </c>
      <c r="H12" s="17" t="s">
        <v>12</v>
      </c>
      <c r="I12" s="19" cm="1">
        <f t="array" ref="I12">_xlfn.SWITCH(
AssetRegister[[#This Row],[Criticality]],
"Low",1,
"Medium",2,
"High",3,
"Critical",4
)</f>
        <v>3</v>
      </c>
      <c r="J12" s="17"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12" s="4" t="s">
        <v>103</v>
      </c>
      <c r="L12" s="4" t="s">
        <v>123</v>
      </c>
      <c r="M12" s="4" t="s">
        <v>123</v>
      </c>
      <c r="N12" s="4" t="s">
        <v>123</v>
      </c>
      <c r="O12" s="4"/>
    </row>
    <row r="13" spans="1:15" ht="28.8" x14ac:dyDescent="0.3">
      <c r="A13" s="4" t="s">
        <v>35</v>
      </c>
      <c r="B13" s="4" t="s">
        <v>13</v>
      </c>
      <c r="C13" s="4" t="s">
        <v>14</v>
      </c>
      <c r="D13" s="4" t="s">
        <v>33</v>
      </c>
      <c r="E13" s="4" t="s">
        <v>32</v>
      </c>
      <c r="F13" s="4" t="s">
        <v>29</v>
      </c>
      <c r="G13" s="4" t="s">
        <v>43</v>
      </c>
      <c r="H13" s="17" t="s">
        <v>12</v>
      </c>
      <c r="I13" s="19" cm="1">
        <f t="array" ref="I13">_xlfn.SWITCH(
AssetRegister[[#This Row],[Criticality]],
"Low",1,
"Medium",2,
"High",3,
"Critical",4
)</f>
        <v>3</v>
      </c>
      <c r="J13" s="17"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13" s="4" t="s">
        <v>77</v>
      </c>
      <c r="L13" s="4" t="s">
        <v>123</v>
      </c>
      <c r="M13" s="4" t="s">
        <v>123</v>
      </c>
      <c r="N13" s="4" t="s">
        <v>123</v>
      </c>
      <c r="O13" s="4" t="s">
        <v>127</v>
      </c>
    </row>
    <row r="14" spans="1:15" x14ac:dyDescent="0.3">
      <c r="A14" s="4" t="s">
        <v>36</v>
      </c>
      <c r="B14" s="4" t="s">
        <v>15</v>
      </c>
      <c r="C14" s="4" t="s">
        <v>14</v>
      </c>
      <c r="D14" s="4" t="s">
        <v>33</v>
      </c>
      <c r="E14" s="4" t="s">
        <v>31</v>
      </c>
      <c r="F14" s="4" t="s">
        <v>29</v>
      </c>
      <c r="G14" s="4" t="s">
        <v>43</v>
      </c>
      <c r="H14" s="4" t="s">
        <v>11</v>
      </c>
      <c r="I14" s="11" cm="1">
        <f t="array" ref="I14">_xlfn.SWITCH(
AssetRegister[[#This Row],[Criticality]],
"Low",1,
"Medium",2,
"High",3,
"Critical",4
)</f>
        <v>2</v>
      </c>
      <c r="J14" s="4"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14" s="4" t="s">
        <v>106</v>
      </c>
      <c r="L14" s="4" t="s">
        <v>123</v>
      </c>
      <c r="M14" s="4" t="s">
        <v>123</v>
      </c>
      <c r="N14" s="4" t="s">
        <v>123</v>
      </c>
      <c r="O14" s="4"/>
    </row>
    <row r="15" spans="1:15" ht="28.8" x14ac:dyDescent="0.3">
      <c r="A15" s="4" t="s">
        <v>37</v>
      </c>
      <c r="B15" s="4" t="s">
        <v>16</v>
      </c>
      <c r="C15" s="4" t="s">
        <v>14</v>
      </c>
      <c r="D15" s="4" t="s">
        <v>72</v>
      </c>
      <c r="E15" s="4" t="s">
        <v>32</v>
      </c>
      <c r="F15" s="4" t="s">
        <v>29</v>
      </c>
      <c r="G15" s="4" t="s">
        <v>43</v>
      </c>
      <c r="H15" s="17" t="s">
        <v>12</v>
      </c>
      <c r="I15" s="19" cm="1">
        <f t="array" ref="I15">_xlfn.SWITCH(
AssetRegister[[#This Row],[Criticality]],
"Low",1,
"Medium",2,
"High",3,
"Critical",4
)</f>
        <v>3</v>
      </c>
      <c r="J15" s="17"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15" s="4" t="s">
        <v>80</v>
      </c>
      <c r="L15" s="4" t="s">
        <v>123</v>
      </c>
      <c r="M15" s="4" t="s">
        <v>123</v>
      </c>
      <c r="N15" s="4" t="s">
        <v>123</v>
      </c>
      <c r="O15" s="4" t="s">
        <v>127</v>
      </c>
    </row>
    <row r="16" spans="1:15" ht="28.8" x14ac:dyDescent="0.3">
      <c r="A16" s="4" t="s">
        <v>38</v>
      </c>
      <c r="B16" s="4" t="s">
        <v>23</v>
      </c>
      <c r="C16" s="4" t="s">
        <v>28</v>
      </c>
      <c r="D16" s="4" t="s">
        <v>72</v>
      </c>
      <c r="E16" s="4" t="s">
        <v>32</v>
      </c>
      <c r="F16" s="4" t="s">
        <v>29</v>
      </c>
      <c r="G16" s="4" t="s">
        <v>44</v>
      </c>
      <c r="H16" s="17" t="s">
        <v>12</v>
      </c>
      <c r="I16" s="19" cm="1">
        <f t="array" ref="I16">_xlfn.SWITCH(
AssetRegister[[#This Row],[Criticality]],
"Low",1,
"Medium",2,
"High",3,
"Critical",4
)</f>
        <v>3</v>
      </c>
      <c r="J16" s="17"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Attention Required</v>
      </c>
      <c r="K16" s="4" t="s">
        <v>106</v>
      </c>
      <c r="L16" s="4" t="s">
        <v>123</v>
      </c>
      <c r="M16" s="4" t="s">
        <v>123</v>
      </c>
      <c r="N16" s="4" t="s">
        <v>124</v>
      </c>
      <c r="O16" s="4" t="s">
        <v>131</v>
      </c>
    </row>
    <row r="17" spans="1:15" ht="28.8" x14ac:dyDescent="0.3">
      <c r="A17" s="4" t="s">
        <v>39</v>
      </c>
      <c r="B17" s="4" t="s">
        <v>17</v>
      </c>
      <c r="C17" s="4" t="s">
        <v>28</v>
      </c>
      <c r="D17" s="4" t="s">
        <v>33</v>
      </c>
      <c r="E17" s="4" t="s">
        <v>64</v>
      </c>
      <c r="F17" s="4" t="s">
        <v>29</v>
      </c>
      <c r="G17" s="4" t="s">
        <v>44</v>
      </c>
      <c r="H17" s="17" t="s">
        <v>12</v>
      </c>
      <c r="I17" s="19" cm="1">
        <f t="array" ref="I17">_xlfn.SWITCH(
AssetRegister[[#This Row],[Criticality]],
"Low",1,
"Medium",2,
"High",3,
"Critical",4
)</f>
        <v>3</v>
      </c>
      <c r="J17" s="17"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Attention Required</v>
      </c>
      <c r="K17" s="4" t="s">
        <v>84</v>
      </c>
      <c r="L17" s="4" t="s">
        <v>123</v>
      </c>
      <c r="M17" s="4" t="s">
        <v>123</v>
      </c>
      <c r="N17" s="4" t="s">
        <v>124</v>
      </c>
      <c r="O17" s="4" t="s">
        <v>131</v>
      </c>
    </row>
    <row r="18" spans="1:15" x14ac:dyDescent="0.3">
      <c r="A18" s="4" t="s">
        <v>67</v>
      </c>
      <c r="B18" s="4" t="s">
        <v>18</v>
      </c>
      <c r="C18" s="4" t="s">
        <v>26</v>
      </c>
      <c r="D18" s="4" t="s">
        <v>33</v>
      </c>
      <c r="E18" s="4" t="s">
        <v>31</v>
      </c>
      <c r="F18" s="4" t="s">
        <v>29</v>
      </c>
      <c r="G18" s="4" t="s">
        <v>43</v>
      </c>
      <c r="H18" s="17" t="s">
        <v>12</v>
      </c>
      <c r="I18" s="19" cm="1">
        <f t="array" ref="I18">_xlfn.SWITCH(
AssetRegister[[#This Row],[Criticality]],
"Low",1,
"Medium",2,
"High",3,
"Critical",4
)</f>
        <v>3</v>
      </c>
      <c r="J18" s="17"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18" s="4" t="s">
        <v>99</v>
      </c>
      <c r="L18" s="4" t="s">
        <v>123</v>
      </c>
      <c r="M18" s="4" t="s">
        <v>123</v>
      </c>
      <c r="N18" s="4" t="s">
        <v>123</v>
      </c>
      <c r="O18" s="4" t="s">
        <v>129</v>
      </c>
    </row>
    <row r="19" spans="1:15" ht="28.8" x14ac:dyDescent="0.3">
      <c r="A19" s="4" t="s">
        <v>68</v>
      </c>
      <c r="B19" s="4" t="s">
        <v>19</v>
      </c>
      <c r="C19" s="4" t="s">
        <v>26</v>
      </c>
      <c r="D19" s="4" t="s">
        <v>73</v>
      </c>
      <c r="E19" s="4" t="s">
        <v>30</v>
      </c>
      <c r="F19" s="4" t="s">
        <v>29</v>
      </c>
      <c r="G19" s="4" t="s">
        <v>42</v>
      </c>
      <c r="H19" s="4" t="s">
        <v>11</v>
      </c>
      <c r="I19" s="11" cm="1">
        <f t="array" ref="I19">_xlfn.SWITCH(
AssetRegister[[#This Row],[Criticality]],
"Low",1,
"Medium",2,
"High",3,
"Critical",4
)</f>
        <v>2</v>
      </c>
      <c r="J19" s="4"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19" s="4" t="s">
        <v>101</v>
      </c>
      <c r="L19" s="4" t="s">
        <v>123</v>
      </c>
      <c r="M19" s="4" t="s">
        <v>123</v>
      </c>
      <c r="N19" s="4" t="s">
        <v>123</v>
      </c>
      <c r="O19" s="4" t="s">
        <v>129</v>
      </c>
    </row>
    <row r="20" spans="1:15" ht="28.8" x14ac:dyDescent="0.3">
      <c r="A20" s="4" t="s">
        <v>70</v>
      </c>
      <c r="B20" s="4" t="s">
        <v>20</v>
      </c>
      <c r="C20" s="4" t="s">
        <v>26</v>
      </c>
      <c r="D20" s="4" t="s">
        <v>33</v>
      </c>
      <c r="E20" s="4" t="s">
        <v>30</v>
      </c>
      <c r="F20" s="4" t="s">
        <v>29</v>
      </c>
      <c r="G20" s="4" t="s">
        <v>44</v>
      </c>
      <c r="H20" s="17" t="s">
        <v>12</v>
      </c>
      <c r="I20" s="19" cm="1">
        <f t="array" ref="I20">_xlfn.SWITCH(
AssetRegister[[#This Row],[Criticality]],
"Low",1,
"Medium",2,
"High",3,
"Critical",4
)</f>
        <v>3</v>
      </c>
      <c r="J20" s="17"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20" s="4" t="s">
        <v>101</v>
      </c>
      <c r="L20" s="4" t="s">
        <v>123</v>
      </c>
      <c r="M20" s="4" t="s">
        <v>123</v>
      </c>
      <c r="N20" s="4" t="s">
        <v>123</v>
      </c>
      <c r="O20" s="4" t="s">
        <v>129</v>
      </c>
    </row>
    <row r="21" spans="1:15" x14ac:dyDescent="0.3">
      <c r="A21" s="4" t="s">
        <v>69</v>
      </c>
      <c r="B21" s="4" t="s">
        <v>21</v>
      </c>
      <c r="C21" s="4" t="s">
        <v>26</v>
      </c>
      <c r="D21" s="4" t="s">
        <v>33</v>
      </c>
      <c r="E21" s="4" t="s">
        <v>33</v>
      </c>
      <c r="F21" s="4" t="s">
        <v>29</v>
      </c>
      <c r="G21" s="4" t="s">
        <v>42</v>
      </c>
      <c r="H21" s="4" t="s">
        <v>11</v>
      </c>
      <c r="I21" s="11" cm="1">
        <f t="array" ref="I21">_xlfn.SWITCH(
AssetRegister[[#This Row],[Criticality]],
"Low",1,
"Medium",2,
"High",3,
"Critical",4
)</f>
        <v>2</v>
      </c>
      <c r="J21" s="4"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21" s="4" t="s">
        <v>101</v>
      </c>
      <c r="L21" s="4" t="s">
        <v>123</v>
      </c>
      <c r="M21" s="4" t="s">
        <v>123</v>
      </c>
      <c r="N21" s="4" t="s">
        <v>123</v>
      </c>
      <c r="O21" s="4" t="s">
        <v>129</v>
      </c>
    </row>
    <row r="22" spans="1:15" x14ac:dyDescent="0.3">
      <c r="A22" s="4" t="s">
        <v>71</v>
      </c>
      <c r="B22" s="4" t="s">
        <v>22</v>
      </c>
      <c r="C22" s="4" t="s">
        <v>26</v>
      </c>
      <c r="D22" s="4" t="s">
        <v>33</v>
      </c>
      <c r="E22" s="4" t="s">
        <v>32</v>
      </c>
      <c r="F22" s="4" t="s">
        <v>29</v>
      </c>
      <c r="G22" s="4" t="s">
        <v>43</v>
      </c>
      <c r="H22" s="17" t="s">
        <v>12</v>
      </c>
      <c r="I22" s="19" cm="1">
        <f t="array" ref="I22">_xlfn.SWITCH(
AssetRegister[[#This Row],[Criticality]],
"Low",1,
"Medium",2,
"High",3,
"Critical",4
)</f>
        <v>3</v>
      </c>
      <c r="J22" s="17"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22" s="4" t="s">
        <v>101</v>
      </c>
      <c r="L22" s="4" t="s">
        <v>123</v>
      </c>
      <c r="M22" s="4" t="s">
        <v>123</v>
      </c>
      <c r="N22" s="4" t="s">
        <v>123</v>
      </c>
      <c r="O22" s="4" t="s">
        <v>129</v>
      </c>
    </row>
    <row r="23" spans="1:15" ht="28.8" x14ac:dyDescent="0.3">
      <c r="A23" s="4" t="s">
        <v>65</v>
      </c>
      <c r="B23" s="4" t="s">
        <v>24</v>
      </c>
      <c r="C23" s="4" t="s">
        <v>27</v>
      </c>
      <c r="D23" s="4" t="s">
        <v>74</v>
      </c>
      <c r="E23" s="4" t="s">
        <v>30</v>
      </c>
      <c r="F23" s="4" t="s">
        <v>29</v>
      </c>
      <c r="G23" s="4" t="s">
        <v>43</v>
      </c>
      <c r="H23" s="17" t="s">
        <v>12</v>
      </c>
      <c r="I23" s="19" cm="1">
        <f t="array" ref="I23">_xlfn.SWITCH(
AssetRegister[[#This Row],[Criticality]],
"Low",1,
"Medium",2,
"High",3,
"Critical",4
)</f>
        <v>3</v>
      </c>
      <c r="J23" s="17"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23" s="4" t="s">
        <v>86</v>
      </c>
      <c r="L23" s="4" t="s">
        <v>124</v>
      </c>
      <c r="M23" s="4" t="s">
        <v>123</v>
      </c>
      <c r="N23" s="4" t="s">
        <v>123</v>
      </c>
      <c r="O23" s="4" t="s">
        <v>130</v>
      </c>
    </row>
    <row r="24" spans="1:15" ht="28.8" x14ac:dyDescent="0.3">
      <c r="A24" s="4" t="s">
        <v>66</v>
      </c>
      <c r="B24" s="4" t="s">
        <v>25</v>
      </c>
      <c r="C24" s="4" t="s">
        <v>27</v>
      </c>
      <c r="D24" s="4" t="s">
        <v>74</v>
      </c>
      <c r="E24" s="4" t="s">
        <v>30</v>
      </c>
      <c r="F24" s="4" t="s">
        <v>29</v>
      </c>
      <c r="G24" s="4" t="s">
        <v>43</v>
      </c>
      <c r="H24" s="17" t="s">
        <v>12</v>
      </c>
      <c r="I24" s="19" cm="1">
        <f t="array" ref="I24">_xlfn.SWITCH(
AssetRegister[[#This Row],[Criticality]],
"Low",1,
"Medium",2,
"High",3,
"Critical",4
)</f>
        <v>3</v>
      </c>
      <c r="J24" s="17"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24" s="4" t="s">
        <v>86</v>
      </c>
      <c r="L24" s="4" t="s">
        <v>124</v>
      </c>
      <c r="M24" s="4" t="s">
        <v>123</v>
      </c>
      <c r="N24" s="4" t="s">
        <v>123</v>
      </c>
      <c r="O24" s="4" t="s">
        <v>130</v>
      </c>
    </row>
    <row r="25" spans="1:15" x14ac:dyDescent="0.3">
      <c r="H25" s="2"/>
      <c r="I25" s="20"/>
      <c r="J25" s="2"/>
      <c r="K25" s="2"/>
    </row>
    <row r="26" spans="1:15" x14ac:dyDescent="0.3">
      <c r="N26" s="7"/>
      <c r="O26" s="12"/>
    </row>
    <row r="27" spans="1:15" x14ac:dyDescent="0.3">
      <c r="N27" s="12"/>
      <c r="O27" s="12"/>
    </row>
    <row r="28" spans="1:15" x14ac:dyDescent="0.3">
      <c r="A28" s="3"/>
      <c r="B28" s="18"/>
    </row>
  </sheetData>
  <sheetProtection algorithmName="SHA-512" hashValue="iNKiZqemT7/xNZOij7fHaHx2X5VZ2yXbAXnNLUqQOCYW089+jI6w6fo1H1HNY/QBB2XKUzZKpYBKF8/5+fwZkw==" saltValue="oyWuyh6pOhuoaP2gnuG2IA==" spinCount="100000" sheet="1" objects="1" scenarios="1" selectLockedCells="1" selectUnlockedCells="1"/>
  <conditionalFormatting sqref="G1:G1048576">
    <cfRule type="cellIs" dxfId="104" priority="11" operator="equal">
      <formula>"Public"</formula>
    </cfRule>
    <cfRule type="containsText" dxfId="103" priority="15" operator="containsText" text="Internal">
      <formula>NOT(ISERROR(SEARCH("Internal",G1)))</formula>
    </cfRule>
    <cfRule type="containsText" dxfId="102" priority="16" operator="containsText" text="Restricted">
      <formula>NOT(ISERROR(SEARCH("Restricted",G1)))</formula>
    </cfRule>
    <cfRule type="containsText" dxfId="101" priority="17" operator="containsText" text="Confidential">
      <formula>NOT(ISERROR(SEARCH("Confidential",G1)))</formula>
    </cfRule>
  </conditionalFormatting>
  <conditionalFormatting sqref="H1:K1048576">
    <cfRule type="containsText" dxfId="100" priority="12" operator="containsText" text="Low">
      <formula>NOT(ISERROR(SEARCH("Low",H1)))</formula>
    </cfRule>
    <cfRule type="containsText" dxfId="99" priority="13" operator="containsText" text="Medium">
      <formula>NOT(ISERROR(SEARCH("Medium",H1)))</formula>
    </cfRule>
    <cfRule type="containsText" dxfId="98" priority="14" operator="containsText" text="High">
      <formula>NOT(ISERROR(SEARCH("High",H1)))</formula>
    </cfRule>
  </conditionalFormatting>
  <conditionalFormatting sqref="H1:J1048576">
    <cfRule type="cellIs" dxfId="97" priority="10" operator="equal">
      <formula>"Critical"</formula>
    </cfRule>
  </conditionalFormatting>
  <conditionalFormatting sqref="I1:I1048576">
    <cfRule type="cellIs" dxfId="96" priority="5" operator="equal">
      <formula>5</formula>
    </cfRule>
    <cfRule type="cellIs" dxfId="95" priority="6" operator="equal">
      <formula>4</formula>
    </cfRule>
    <cfRule type="cellIs" dxfId="94" priority="7" operator="equal">
      <formula>3</formula>
    </cfRule>
    <cfRule type="cellIs" dxfId="93" priority="8" operator="equal">
      <formula>2</formula>
    </cfRule>
    <cfRule type="cellIs" dxfId="92" priority="9" operator="equal">
      <formula>1</formula>
    </cfRule>
  </conditionalFormatting>
  <conditionalFormatting sqref="J1:J1048576">
    <cfRule type="cellIs" dxfId="91" priority="1" operator="equal">
      <formula>"Attention Required"</formula>
    </cfRule>
    <cfRule type="cellIs" dxfId="90" priority="2" operator="equal">
      <formula>"Low"</formula>
    </cfRule>
    <cfRule type="cellIs" dxfId="89" priority="3" operator="equal">
      <formula>"Medium"</formula>
    </cfRule>
    <cfRule type="cellIs" dxfId="88" priority="4" operator="equal">
      <formula>"High"</formula>
    </cfRule>
  </conditionalFormatting>
  <dataValidations count="4">
    <dataValidation type="list" allowBlank="1" showInputMessage="1" showErrorMessage="1" sqref="L2:L1048576" xr:uid="{F6A41F47-9C8E-4BED-BAC2-E42D15376675}">
      <formula1>"Yes,No,User-Dependent,N/A"</formula1>
    </dataValidation>
    <dataValidation type="list" allowBlank="1" showInputMessage="1" showErrorMessage="1" sqref="M2:M1048576 N2:N1048576" xr:uid="{5676F0D4-979A-46C6-9E3D-814872E25E65}">
      <formula1>"Yes,No,N/A"</formula1>
    </dataValidation>
    <dataValidation type="list" allowBlank="1" showInputMessage="1" showErrorMessage="1" sqref="G2:G1048576" xr:uid="{A935F2B1-1788-474D-AFA2-4C0BB5208D72}">
      <formula1>"Public,Internal,Confidential,Restricted"</formula1>
    </dataValidation>
    <dataValidation type="list" allowBlank="1" showInputMessage="1" showErrorMessage="1" sqref="H2:H1048576" xr:uid="{66771C50-51A0-4828-85A9-8498D8CE8738}">
      <formula1>"Low,Medium,High,Critical"</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1107-0F65-401E-824A-8F27AD1834FE}">
  <dimension ref="A1:J93"/>
  <sheetViews>
    <sheetView zoomScale="72" workbookViewId="0">
      <selection activeCell="D63" sqref="D63"/>
    </sheetView>
  </sheetViews>
  <sheetFormatPr defaultRowHeight="14.4" x14ac:dyDescent="0.3"/>
  <cols>
    <col min="1" max="1" width="25" style="1" customWidth="1"/>
    <col min="2" max="2" width="18.88671875" style="1" customWidth="1"/>
    <col min="3" max="3" width="26.109375" style="1" customWidth="1"/>
    <col min="4" max="4" width="18.6640625" style="1" customWidth="1"/>
    <col min="5" max="5" width="20.33203125" style="1" customWidth="1"/>
    <col min="6" max="6" width="12.6640625" style="1" customWidth="1"/>
    <col min="7" max="7" width="20.88671875" style="1" customWidth="1"/>
    <col min="8" max="8" width="22.6640625" style="1" customWidth="1"/>
    <col min="9" max="16384" width="8.88671875" style="1"/>
  </cols>
  <sheetData>
    <row r="1" spans="1:5" ht="18" x14ac:dyDescent="0.35">
      <c r="A1" s="31" t="s">
        <v>217</v>
      </c>
    </row>
    <row r="3" spans="1:5" x14ac:dyDescent="0.3">
      <c r="A3" s="25" t="s">
        <v>214</v>
      </c>
    </row>
    <row r="4" spans="1:5" x14ac:dyDescent="0.3">
      <c r="A4" s="27" t="s">
        <v>247</v>
      </c>
      <c r="B4" s="27"/>
      <c r="C4" s="27"/>
      <c r="D4" s="27"/>
      <c r="E4" s="27"/>
    </row>
    <row r="5" spans="1:5" x14ac:dyDescent="0.3">
      <c r="A5" s="27"/>
      <c r="B5" s="27"/>
      <c r="C5" s="27"/>
      <c r="D5" s="27"/>
      <c r="E5" s="27"/>
    </row>
    <row r="7" spans="1:5" ht="18" x14ac:dyDescent="0.3">
      <c r="A7" s="28" t="s">
        <v>215</v>
      </c>
    </row>
    <row r="9" spans="1:5" x14ac:dyDescent="0.3">
      <c r="A9" s="22" t="s">
        <v>115</v>
      </c>
      <c r="B9" s="22" t="s">
        <v>216</v>
      </c>
      <c r="C9" s="22" t="s">
        <v>75</v>
      </c>
      <c r="D9" s="22" t="s">
        <v>211</v>
      </c>
      <c r="E9" s="22" t="s">
        <v>203</v>
      </c>
    </row>
    <row r="10" spans="1:5" ht="72" x14ac:dyDescent="0.3">
      <c r="A10" s="24" t="s">
        <v>118</v>
      </c>
      <c r="B10" s="23">
        <v>1</v>
      </c>
      <c r="C10" s="24" t="s">
        <v>282</v>
      </c>
      <c r="D10" s="24" t="s">
        <v>236</v>
      </c>
      <c r="E10" s="24" t="s">
        <v>237</v>
      </c>
    </row>
    <row r="11" spans="1:5" ht="72" x14ac:dyDescent="0.3">
      <c r="A11" s="24" t="s">
        <v>218</v>
      </c>
      <c r="B11" s="23">
        <v>2</v>
      </c>
      <c r="C11" s="24" t="s">
        <v>238</v>
      </c>
      <c r="D11" s="24" t="s">
        <v>284</v>
      </c>
      <c r="E11" s="24" t="s">
        <v>239</v>
      </c>
    </row>
    <row r="12" spans="1:5" ht="72" x14ac:dyDescent="0.3">
      <c r="A12" s="24" t="s">
        <v>119</v>
      </c>
      <c r="B12" s="23">
        <v>3</v>
      </c>
      <c r="C12" s="24" t="s">
        <v>240</v>
      </c>
      <c r="D12" s="24" t="s">
        <v>285</v>
      </c>
      <c r="E12" s="24" t="s">
        <v>241</v>
      </c>
    </row>
    <row r="13" spans="1:5" ht="57.6" x14ac:dyDescent="0.3">
      <c r="A13" s="24" t="s">
        <v>205</v>
      </c>
      <c r="B13" s="23">
        <v>4</v>
      </c>
      <c r="C13" s="24" t="s">
        <v>283</v>
      </c>
      <c r="D13" s="24" t="s">
        <v>242</v>
      </c>
      <c r="E13" s="24" t="s">
        <v>243</v>
      </c>
    </row>
    <row r="14" spans="1:5" ht="57.6" x14ac:dyDescent="0.3">
      <c r="A14" s="24" t="s">
        <v>206</v>
      </c>
      <c r="B14" s="23">
        <v>5</v>
      </c>
      <c r="C14" s="24" t="s">
        <v>244</v>
      </c>
      <c r="D14" s="24" t="s">
        <v>245</v>
      </c>
      <c r="E14" s="24" t="s">
        <v>246</v>
      </c>
    </row>
    <row r="18" spans="1:10" ht="18" x14ac:dyDescent="0.35">
      <c r="A18" s="31" t="s">
        <v>219</v>
      </c>
      <c r="F18" s="31" t="s">
        <v>222</v>
      </c>
    </row>
    <row r="20" spans="1:10" x14ac:dyDescent="0.3">
      <c r="A20" s="25" t="s">
        <v>214</v>
      </c>
      <c r="F20" s="25" t="s">
        <v>214</v>
      </c>
    </row>
    <row r="21" spans="1:10" x14ac:dyDescent="0.3">
      <c r="A21" s="27" t="s">
        <v>248</v>
      </c>
      <c r="B21" s="27"/>
      <c r="C21" s="27"/>
      <c r="F21" s="27" t="s">
        <v>255</v>
      </c>
      <c r="G21" s="27"/>
      <c r="H21" s="27"/>
    </row>
    <row r="22" spans="1:10" x14ac:dyDescent="0.3">
      <c r="A22" s="27"/>
      <c r="B22" s="27"/>
      <c r="C22" s="27"/>
      <c r="F22" s="21"/>
      <c r="G22" s="21"/>
      <c r="H22" s="21"/>
    </row>
    <row r="23" spans="1:10" x14ac:dyDescent="0.3">
      <c r="A23" s="4"/>
      <c r="B23" s="4"/>
      <c r="C23" s="4"/>
    </row>
    <row r="24" spans="1:10" ht="18" x14ac:dyDescent="0.3">
      <c r="A24" s="28" t="s">
        <v>220</v>
      </c>
      <c r="F24" s="28" t="s">
        <v>223</v>
      </c>
    </row>
    <row r="26" spans="1:10" x14ac:dyDescent="0.3">
      <c r="A26" s="22" t="s">
        <v>7</v>
      </c>
      <c r="B26" s="22" t="s">
        <v>202</v>
      </c>
      <c r="C26" s="22" t="s">
        <v>221</v>
      </c>
      <c r="F26" s="22" t="s">
        <v>201</v>
      </c>
      <c r="G26" s="22" t="s">
        <v>202</v>
      </c>
      <c r="H26" s="22" t="s">
        <v>126</v>
      </c>
      <c r="I26" s="22"/>
      <c r="J26" s="22"/>
    </row>
    <row r="27" spans="1:10" ht="86.4" x14ac:dyDescent="0.3">
      <c r="A27" s="24" t="s">
        <v>12</v>
      </c>
      <c r="B27" s="24" t="s">
        <v>249</v>
      </c>
      <c r="C27" s="24" t="s">
        <v>250</v>
      </c>
      <c r="F27" s="24" t="s">
        <v>79</v>
      </c>
      <c r="G27" s="24" t="s">
        <v>256</v>
      </c>
      <c r="H27" s="24" t="s">
        <v>257</v>
      </c>
      <c r="I27" s="30"/>
      <c r="J27" s="30"/>
    </row>
    <row r="28" spans="1:10" ht="72" x14ac:dyDescent="0.3">
      <c r="A28" s="24" t="s">
        <v>11</v>
      </c>
      <c r="B28" s="24" t="s">
        <v>251</v>
      </c>
      <c r="C28" s="24" t="s">
        <v>252</v>
      </c>
      <c r="F28" s="24" t="s">
        <v>92</v>
      </c>
      <c r="G28" s="24" t="s">
        <v>258</v>
      </c>
      <c r="H28" s="24" t="s">
        <v>259</v>
      </c>
      <c r="I28" s="30"/>
      <c r="J28" s="30"/>
    </row>
    <row r="29" spans="1:10" ht="57.6" x14ac:dyDescent="0.3">
      <c r="A29" s="24" t="s">
        <v>76</v>
      </c>
      <c r="B29" s="24" t="s">
        <v>253</v>
      </c>
      <c r="C29" s="24" t="s">
        <v>254</v>
      </c>
      <c r="F29" s="24" t="s">
        <v>114</v>
      </c>
      <c r="G29" s="24" t="s">
        <v>260</v>
      </c>
      <c r="H29" s="24" t="s">
        <v>286</v>
      </c>
      <c r="I29" s="30"/>
      <c r="J29" s="30"/>
    </row>
    <row r="30" spans="1:10" x14ac:dyDescent="0.3">
      <c r="F30" s="24"/>
      <c r="G30" s="24"/>
      <c r="H30" s="24"/>
      <c r="I30" s="30"/>
      <c r="J30" s="30"/>
    </row>
    <row r="31" spans="1:10" x14ac:dyDescent="0.3">
      <c r="F31" s="24"/>
      <c r="G31" s="24"/>
      <c r="H31" s="24"/>
      <c r="I31" s="30"/>
      <c r="J31" s="30"/>
    </row>
    <row r="33" spans="1:10" ht="18" x14ac:dyDescent="0.35">
      <c r="A33" s="31" t="s">
        <v>207</v>
      </c>
      <c r="F33" s="31" t="s">
        <v>209</v>
      </c>
    </row>
    <row r="35" spans="1:10" x14ac:dyDescent="0.3">
      <c r="A35" s="25" t="s">
        <v>214</v>
      </c>
      <c r="F35" s="25" t="s">
        <v>214</v>
      </c>
    </row>
    <row r="36" spans="1:10" ht="48" customHeight="1" x14ac:dyDescent="0.3">
      <c r="A36" s="27" t="s">
        <v>261</v>
      </c>
      <c r="B36" s="27"/>
      <c r="C36" s="27"/>
      <c r="F36" s="27" t="s">
        <v>270</v>
      </c>
      <c r="G36" s="27"/>
      <c r="H36" s="27"/>
    </row>
    <row r="37" spans="1:10" x14ac:dyDescent="0.3">
      <c r="A37" s="4"/>
      <c r="B37" s="4"/>
      <c r="C37" s="4"/>
    </row>
    <row r="39" spans="1:10" ht="18" x14ac:dyDescent="0.3">
      <c r="A39" s="28" t="s">
        <v>224</v>
      </c>
      <c r="F39" s="28" t="s">
        <v>227</v>
      </c>
    </row>
    <row r="41" spans="1:10" x14ac:dyDescent="0.3">
      <c r="A41" s="22" t="s">
        <v>40</v>
      </c>
      <c r="B41" s="22" t="s">
        <v>75</v>
      </c>
      <c r="C41" s="22" t="s">
        <v>225</v>
      </c>
      <c r="D41" s="22"/>
      <c r="E41" s="22"/>
      <c r="F41" s="22" t="s">
        <v>7</v>
      </c>
      <c r="G41" s="22" t="s">
        <v>204</v>
      </c>
      <c r="H41" s="22" t="s">
        <v>228</v>
      </c>
      <c r="I41" s="22"/>
      <c r="J41" s="22"/>
    </row>
    <row r="42" spans="1:10" ht="90" customHeight="1" x14ac:dyDescent="0.3">
      <c r="A42" s="24" t="s">
        <v>44</v>
      </c>
      <c r="B42" s="24" t="s">
        <v>262</v>
      </c>
      <c r="C42" s="24" t="s">
        <v>263</v>
      </c>
      <c r="D42" s="30"/>
      <c r="E42" s="30"/>
      <c r="F42" s="24" t="s">
        <v>208</v>
      </c>
      <c r="G42" s="24" t="s">
        <v>271</v>
      </c>
      <c r="H42" s="24" t="s">
        <v>272</v>
      </c>
      <c r="I42" s="30"/>
      <c r="J42" s="30"/>
    </row>
    <row r="43" spans="1:10" ht="43.2" x14ac:dyDescent="0.3">
      <c r="A43" s="24" t="s">
        <v>43</v>
      </c>
      <c r="B43" s="24" t="s">
        <v>264</v>
      </c>
      <c r="C43" s="24" t="s">
        <v>265</v>
      </c>
      <c r="D43" s="30"/>
      <c r="E43" s="30"/>
      <c r="F43" s="24" t="s">
        <v>12</v>
      </c>
      <c r="G43" s="24" t="s">
        <v>273</v>
      </c>
      <c r="H43" s="24" t="s">
        <v>287</v>
      </c>
      <c r="I43" s="30"/>
      <c r="J43" s="30"/>
    </row>
    <row r="44" spans="1:10" ht="57.6" x14ac:dyDescent="0.3">
      <c r="A44" s="24" t="s">
        <v>42</v>
      </c>
      <c r="B44" s="24" t="s">
        <v>266</v>
      </c>
      <c r="C44" s="24" t="s">
        <v>267</v>
      </c>
      <c r="D44" s="30"/>
      <c r="E44" s="30"/>
      <c r="F44" s="24" t="s">
        <v>11</v>
      </c>
      <c r="G44" s="24" t="s">
        <v>274</v>
      </c>
      <c r="H44" s="24" t="s">
        <v>229</v>
      </c>
      <c r="I44" s="30"/>
      <c r="J44" s="30"/>
    </row>
    <row r="45" spans="1:10" ht="43.2" x14ac:dyDescent="0.3">
      <c r="A45" s="24" t="s">
        <v>226</v>
      </c>
      <c r="B45" s="24" t="s">
        <v>268</v>
      </c>
      <c r="C45" s="24" t="s">
        <v>269</v>
      </c>
      <c r="D45" s="30"/>
      <c r="E45" s="30"/>
      <c r="F45" s="24" t="s">
        <v>76</v>
      </c>
      <c r="G45" s="24" t="s">
        <v>275</v>
      </c>
      <c r="H45" s="24" t="s">
        <v>230</v>
      </c>
      <c r="I45" s="30"/>
      <c r="J45" s="30"/>
    </row>
    <row r="47" spans="1:10" x14ac:dyDescent="0.3">
      <c r="F47" s="32" t="s">
        <v>281</v>
      </c>
      <c r="G47" s="33"/>
      <c r="H47" s="33"/>
    </row>
    <row r="48" spans="1:10" x14ac:dyDescent="0.3">
      <c r="F48" s="34"/>
      <c r="G48" s="34"/>
      <c r="H48" s="34"/>
    </row>
    <row r="51" spans="1:5" ht="18" x14ac:dyDescent="0.35">
      <c r="A51" s="31" t="s">
        <v>231</v>
      </c>
    </row>
    <row r="53" spans="1:5" x14ac:dyDescent="0.3">
      <c r="A53" s="25" t="s">
        <v>214</v>
      </c>
    </row>
    <row r="54" spans="1:5" x14ac:dyDescent="0.3">
      <c r="A54" s="27" t="s">
        <v>288</v>
      </c>
      <c r="B54" s="27"/>
      <c r="C54" s="27"/>
    </row>
    <row r="55" spans="1:5" x14ac:dyDescent="0.3">
      <c r="A55" s="27"/>
      <c r="B55" s="27"/>
      <c r="C55" s="27"/>
    </row>
    <row r="56" spans="1:5" x14ac:dyDescent="0.3">
      <c r="A56" s="6"/>
      <c r="B56" s="6"/>
      <c r="C56" s="6"/>
    </row>
    <row r="58" spans="1:5" ht="18" x14ac:dyDescent="0.3">
      <c r="A58" s="28" t="s">
        <v>232</v>
      </c>
    </row>
    <row r="60" spans="1:5" ht="28.8" x14ac:dyDescent="0.3">
      <c r="A60" s="22" t="s">
        <v>212</v>
      </c>
      <c r="B60" s="22" t="s">
        <v>210</v>
      </c>
      <c r="C60" s="22" t="s">
        <v>211</v>
      </c>
      <c r="D60" s="22"/>
      <c r="E60" s="22"/>
    </row>
    <row r="61" spans="1:5" ht="43.2" x14ac:dyDescent="0.3">
      <c r="A61" s="23" t="s">
        <v>213</v>
      </c>
      <c r="B61" s="24" t="s">
        <v>208</v>
      </c>
      <c r="C61" s="24" t="s">
        <v>276</v>
      </c>
      <c r="D61" s="30"/>
      <c r="E61" s="30"/>
    </row>
    <row r="62" spans="1:5" ht="28.8" x14ac:dyDescent="0.3">
      <c r="A62" s="23" t="s">
        <v>233</v>
      </c>
      <c r="B62" s="24" t="s">
        <v>12</v>
      </c>
      <c r="C62" s="24" t="s">
        <v>277</v>
      </c>
      <c r="D62" s="30"/>
      <c r="E62" s="30"/>
    </row>
    <row r="63" spans="1:5" ht="43.2" x14ac:dyDescent="0.3">
      <c r="A63" s="23" t="s">
        <v>234</v>
      </c>
      <c r="B63" s="24" t="s">
        <v>11</v>
      </c>
      <c r="C63" s="24" t="s">
        <v>278</v>
      </c>
      <c r="D63" s="30"/>
      <c r="E63" s="30"/>
    </row>
    <row r="64" spans="1:5" ht="28.8" x14ac:dyDescent="0.3">
      <c r="A64" s="23" t="s">
        <v>235</v>
      </c>
      <c r="B64" s="24" t="s">
        <v>76</v>
      </c>
      <c r="C64" s="24" t="s">
        <v>279</v>
      </c>
      <c r="D64" s="30"/>
      <c r="E64" s="30"/>
    </row>
    <row r="65" spans="1:3" x14ac:dyDescent="0.3">
      <c r="A65" s="29"/>
    </row>
    <row r="66" spans="1:3" x14ac:dyDescent="0.3">
      <c r="A66" s="32" t="s">
        <v>280</v>
      </c>
      <c r="B66" s="33"/>
      <c r="C66" s="33"/>
    </row>
    <row r="67" spans="1:3" x14ac:dyDescent="0.3">
      <c r="A67" s="33"/>
      <c r="B67" s="33"/>
      <c r="C67" s="33"/>
    </row>
    <row r="68" spans="1:3" x14ac:dyDescent="0.3">
      <c r="A68" s="33"/>
      <c r="B68" s="33"/>
      <c r="C68" s="33"/>
    </row>
    <row r="69" spans="1:3" x14ac:dyDescent="0.3">
      <c r="A69" s="33"/>
      <c r="B69" s="33"/>
      <c r="C69" s="33"/>
    </row>
    <row r="70" spans="1:3" x14ac:dyDescent="0.3">
      <c r="A70" s="33"/>
      <c r="B70" s="33"/>
      <c r="C70" s="33"/>
    </row>
    <row r="71" spans="1:3" x14ac:dyDescent="0.3">
      <c r="A71" s="33"/>
      <c r="B71" s="33"/>
      <c r="C71" s="33"/>
    </row>
    <row r="72" spans="1:3" x14ac:dyDescent="0.3">
      <c r="A72" s="33"/>
      <c r="B72" s="33"/>
      <c r="C72" s="33"/>
    </row>
    <row r="73" spans="1:3" x14ac:dyDescent="0.3">
      <c r="A73" s="33"/>
      <c r="B73" s="33"/>
      <c r="C73" s="33"/>
    </row>
    <row r="74" spans="1:3" x14ac:dyDescent="0.3">
      <c r="A74" s="33"/>
      <c r="B74" s="33"/>
      <c r="C74" s="33"/>
    </row>
    <row r="75" spans="1:3" x14ac:dyDescent="0.3">
      <c r="A75" s="33"/>
      <c r="B75" s="33"/>
      <c r="C75" s="33"/>
    </row>
    <row r="76" spans="1:3" x14ac:dyDescent="0.3">
      <c r="A76" s="33"/>
      <c r="B76" s="33"/>
      <c r="C76" s="33"/>
    </row>
    <row r="77" spans="1:3" x14ac:dyDescent="0.3">
      <c r="A77" s="33"/>
      <c r="B77" s="33"/>
      <c r="C77" s="33"/>
    </row>
    <row r="78" spans="1:3" x14ac:dyDescent="0.3">
      <c r="A78" s="33"/>
      <c r="B78" s="33"/>
      <c r="C78" s="33"/>
    </row>
    <row r="79" spans="1:3" x14ac:dyDescent="0.3">
      <c r="A79" s="33"/>
      <c r="B79" s="33"/>
      <c r="C79" s="33"/>
    </row>
    <row r="82" spans="1:7" x14ac:dyDescent="0.3">
      <c r="A82" s="26" t="s">
        <v>289</v>
      </c>
      <c r="B82" s="27"/>
      <c r="C82" s="27"/>
      <c r="D82" s="27"/>
      <c r="E82" s="27"/>
      <c r="F82" s="27"/>
      <c r="G82" s="27"/>
    </row>
    <row r="83" spans="1:7" x14ac:dyDescent="0.3">
      <c r="A83" s="27"/>
      <c r="B83" s="27"/>
      <c r="C83" s="27"/>
      <c r="D83" s="27"/>
      <c r="E83" s="27"/>
      <c r="F83" s="27"/>
      <c r="G83" s="27"/>
    </row>
    <row r="84" spans="1:7" x14ac:dyDescent="0.3">
      <c r="A84" s="27"/>
      <c r="B84" s="27"/>
      <c r="C84" s="27"/>
      <c r="D84" s="27"/>
      <c r="E84" s="27"/>
      <c r="F84" s="27"/>
      <c r="G84" s="27"/>
    </row>
    <row r="85" spans="1:7" x14ac:dyDescent="0.3">
      <c r="A85" s="27"/>
      <c r="B85" s="27"/>
      <c r="C85" s="27"/>
      <c r="D85" s="27"/>
      <c r="E85" s="27"/>
      <c r="F85" s="27"/>
      <c r="G85" s="27"/>
    </row>
    <row r="86" spans="1:7" x14ac:dyDescent="0.3">
      <c r="A86" s="27"/>
      <c r="B86" s="27"/>
      <c r="C86" s="27"/>
      <c r="D86" s="27"/>
      <c r="E86" s="27"/>
      <c r="F86" s="27"/>
      <c r="G86" s="27"/>
    </row>
    <row r="87" spans="1:7" x14ac:dyDescent="0.3">
      <c r="A87" s="27"/>
      <c r="B87" s="27"/>
      <c r="C87" s="27"/>
      <c r="D87" s="27"/>
      <c r="E87" s="27"/>
      <c r="F87" s="27"/>
      <c r="G87" s="27"/>
    </row>
    <row r="88" spans="1:7" x14ac:dyDescent="0.3">
      <c r="A88" s="27"/>
      <c r="B88" s="27"/>
      <c r="C88" s="27"/>
      <c r="D88" s="27"/>
      <c r="E88" s="27"/>
      <c r="F88" s="27"/>
      <c r="G88" s="27"/>
    </row>
    <row r="89" spans="1:7" x14ac:dyDescent="0.3">
      <c r="A89" s="27"/>
      <c r="B89" s="27"/>
      <c r="C89" s="27"/>
      <c r="D89" s="27"/>
      <c r="E89" s="27"/>
      <c r="F89" s="27"/>
      <c r="G89" s="27"/>
    </row>
    <row r="90" spans="1:7" x14ac:dyDescent="0.3">
      <c r="A90" s="27"/>
      <c r="B90" s="27"/>
      <c r="C90" s="27"/>
      <c r="D90" s="27"/>
      <c r="E90" s="27"/>
      <c r="F90" s="27"/>
      <c r="G90" s="27"/>
    </row>
    <row r="91" spans="1:7" x14ac:dyDescent="0.3">
      <c r="A91" s="27"/>
      <c r="B91" s="27"/>
      <c r="C91" s="27"/>
      <c r="D91" s="27"/>
      <c r="E91" s="27"/>
      <c r="F91" s="27"/>
      <c r="G91" s="27"/>
    </row>
    <row r="92" spans="1:7" x14ac:dyDescent="0.3">
      <c r="A92" s="6"/>
      <c r="B92" s="6"/>
      <c r="C92" s="6"/>
      <c r="D92" s="6"/>
      <c r="E92" s="6"/>
      <c r="F92" s="6"/>
      <c r="G92" s="6"/>
    </row>
    <row r="93" spans="1:7" ht="35.4" customHeight="1" x14ac:dyDescent="0.3">
      <c r="A93" s="6"/>
      <c r="B93" s="6"/>
      <c r="C93" s="6"/>
      <c r="D93" s="6"/>
      <c r="E93" s="6"/>
      <c r="F93" s="6"/>
      <c r="G93" s="6"/>
    </row>
  </sheetData>
  <sheetProtection algorithmName="SHA-512" hashValue="/RukfttcIzI55Ha7O8nrVVb0tObndKnC7xpDesUKXa33WM0XExcg/DWeD+0zuY76rVADZDxNmwnKULmv8GuzZg==" saltValue="mKHYp3/c3zn8Zo+TtHwjJw==" spinCount="100000" sheet="1" objects="1" scenarios="1" selectLockedCells="1" selectUnlockedCells="1"/>
  <mergeCells count="9">
    <mergeCell ref="A66:C79"/>
    <mergeCell ref="A54:C56"/>
    <mergeCell ref="A82:G93"/>
    <mergeCell ref="A21:C22"/>
    <mergeCell ref="F21:H22"/>
    <mergeCell ref="F47:H48"/>
    <mergeCell ref="A36:C36"/>
    <mergeCell ref="F36:H36"/>
    <mergeCell ref="A4:E5"/>
  </mergeCells>
  <conditionalFormatting sqref="A10:A14">
    <cfRule type="cellIs" dxfId="87" priority="28" operator="equal">
      <formula>"Optimized"</formula>
    </cfRule>
    <cfRule type="cellIs" dxfId="86" priority="29" operator="equal">
      <formula>"Managed"</formula>
    </cfRule>
    <cfRule type="cellIs" dxfId="85" priority="30" operator="equal">
      <formula>"Developing"</formula>
    </cfRule>
    <cfRule type="cellIs" dxfId="84" priority="31" operator="equal">
      <formula>"Emerging"</formula>
    </cfRule>
    <cfRule type="cellIs" dxfId="83" priority="32" operator="equal">
      <formula>"Initial"</formula>
    </cfRule>
  </conditionalFormatting>
  <conditionalFormatting sqref="B10:B14">
    <cfRule type="cellIs" dxfId="82" priority="23" operator="equal">
      <formula>1</formula>
    </cfRule>
    <cfRule type="cellIs" dxfId="81" priority="24" operator="equal">
      <formula>2</formula>
    </cfRule>
    <cfRule type="cellIs" dxfId="80" priority="25" operator="equal">
      <formula>3</formula>
    </cfRule>
    <cfRule type="cellIs" dxfId="79" priority="26" operator="equal">
      <formula>4</formula>
    </cfRule>
    <cfRule type="cellIs" dxfId="78" priority="27" operator="equal">
      <formula>5</formula>
    </cfRule>
  </conditionalFormatting>
  <conditionalFormatting sqref="A27:A29">
    <cfRule type="cellIs" dxfId="77" priority="20" operator="equal">
      <formula>"Low"</formula>
    </cfRule>
    <cfRule type="cellIs" dxfId="76" priority="21" operator="equal">
      <formula>"Medium"</formula>
    </cfRule>
    <cfRule type="cellIs" dxfId="75" priority="22" operator="equal">
      <formula>"High"</formula>
    </cfRule>
  </conditionalFormatting>
  <conditionalFormatting sqref="F27:F29">
    <cfRule type="cellIs" dxfId="74" priority="17" operator="equal">
      <formula>"Implemented"</formula>
    </cfRule>
    <cfRule type="cellIs" dxfId="73" priority="18" operator="equal">
      <formula>"Partially Implemented"</formula>
    </cfRule>
    <cfRule type="cellIs" dxfId="72" priority="19" operator="equal">
      <formula>"Planned"</formula>
    </cfRule>
  </conditionalFormatting>
  <conditionalFormatting sqref="A42:A45">
    <cfRule type="cellIs" dxfId="71" priority="13" operator="equal">
      <formula>"Public"</formula>
    </cfRule>
    <cfRule type="cellIs" dxfId="70" priority="14" operator="equal">
      <formula>"Internal"</formula>
    </cfRule>
    <cfRule type="cellIs" dxfId="69" priority="15" operator="equal">
      <formula>"Restricted"</formula>
    </cfRule>
    <cfRule type="cellIs" dxfId="68" priority="16" operator="equal">
      <formula>"Confidential"</formula>
    </cfRule>
  </conditionalFormatting>
  <conditionalFormatting sqref="F42:F45">
    <cfRule type="cellIs" dxfId="67" priority="9" operator="equal">
      <formula>"Critical"</formula>
    </cfRule>
    <cfRule type="cellIs" dxfId="66" priority="10" operator="equal">
      <formula>"High"</formula>
    </cfRule>
    <cfRule type="cellIs" dxfId="65" priority="11" operator="equal">
      <formula>"Medium"</formula>
    </cfRule>
    <cfRule type="cellIs" dxfId="64" priority="12" operator="equal">
      <formula>"Low"</formula>
    </cfRule>
  </conditionalFormatting>
  <conditionalFormatting sqref="A61:A64">
    <cfRule type="containsText" dxfId="61" priority="7" operator="containsText" text="49">
      <formula>NOT(ISERROR(SEARCH("49",A61)))</formula>
    </cfRule>
    <cfRule type="containsText" dxfId="60" priority="8" operator="containsText" text="20">
      <formula>NOT(ISERROR(SEARCH("20",A61)))</formula>
    </cfRule>
  </conditionalFormatting>
  <conditionalFormatting sqref="B61:B64">
    <cfRule type="cellIs" dxfId="59" priority="1" operator="equal">
      <formula>"Critical"</formula>
    </cfRule>
    <cfRule type="cellIs" dxfId="58" priority="2" operator="equal">
      <formula>"High"</formula>
    </cfRule>
    <cfRule type="cellIs" dxfId="57" priority="3" operator="equal">
      <formula>"Medium"</formula>
    </cfRule>
    <cfRule type="cellIs" dxfId="56" priority="4" operator="equal">
      <formula>"Low"</formula>
    </cfRule>
  </conditionalFormatting>
  <pageMargins left="0.7" right="0.7" top="0.75" bottom="0.75" header="0.3" footer="0.3"/>
  <tableParts count="6">
    <tablePart r:id="rId1"/>
    <tablePart r:id="rId2"/>
    <tablePart r:id="rId3"/>
    <tablePart r:id="rId4"/>
    <tablePart r:id="rId5"/>
    <tablePart r:id="rId6"/>
  </tableParts>
  <extLst>
    <ext xmlns:x14="http://schemas.microsoft.com/office/spreadsheetml/2009/9/main" uri="{78C0D931-6437-407d-A8EE-F0AAD7539E65}">
      <x14:conditionalFormattings>
        <x14:conditionalFormatting xmlns:xm="http://schemas.microsoft.com/office/excel/2006/main">
          <x14:cfRule type="containsText" priority="5" operator="containsText" id="{8D66EEEB-1FFC-4343-9EBC-99FC9460B252}">
            <xm:f>NOT(ISERROR(SEARCH(100,A61)))</xm:f>
            <xm:f>100</xm:f>
            <x14:dxf>
              <font>
                <b/>
                <i val="0"/>
                <color theme="0"/>
              </font>
              <fill>
                <patternFill>
                  <bgColor rgb="FF8B0000"/>
                </patternFill>
              </fill>
            </x14:dxf>
          </x14:cfRule>
          <x14:cfRule type="containsText" priority="6" operator="containsText" id="{5D64B3F5-C84C-4ED0-8A58-19CE7BE659C1}">
            <xm:f>NOT(ISERROR(SEARCH("99",A61)))</xm:f>
            <xm:f>"99"</xm:f>
            <x14:dxf>
              <fill>
                <patternFill>
                  <bgColor rgb="FFE55300"/>
                </patternFill>
              </fill>
            </x14:dxf>
          </x14:cfRule>
          <xm:sqref>A61:A64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ISO27001 Controls</vt:lpstr>
      <vt:lpstr>Asset Register</vt:lpstr>
      <vt:lpstr>Legend &amp; Methodology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Ariel Bethea</dc:creator>
  <cp:lastModifiedBy>Ariel Bethea</cp:lastModifiedBy>
  <dcterms:created xsi:type="dcterms:W3CDTF">2025-12-27T22:44:08Z</dcterms:created>
  <dcterms:modified xsi:type="dcterms:W3CDTF">2026-01-05T01:37:49Z</dcterms:modified>
</cp:coreProperties>
</file>